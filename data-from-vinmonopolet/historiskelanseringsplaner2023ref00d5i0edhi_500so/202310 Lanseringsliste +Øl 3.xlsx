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3/202310 Øl/"/>
    </mc:Choice>
  </mc:AlternateContent>
  <xr:revisionPtr revIDLastSave="18" documentId="8_{FD44A579-ADDF-4578-A49C-A92B9FA4A9E0}" xr6:coauthVersionLast="47" xr6:coauthVersionMax="47" xr10:uidLastSave="{7FC663D2-0E54-4D69-84D5-2263B4E07A24}"/>
  <bookViews>
    <workbookView xWindow="-28920" yWindow="-1425" windowWidth="29040" windowHeight="17640" activeTab="1" xr2:uid="{BE052097-9778-4E71-A305-FED9C9B3892F}"/>
  </bookViews>
  <sheets>
    <sheet name="Arbeidsliste" sheetId="1" r:id="rId1"/>
    <sheet name="Smaksnotater" sheetId="2" r:id="rId2"/>
  </sheet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</calcChain>
</file>

<file path=xl/sharedStrings.xml><?xml version="1.0" encoding="utf-8"?>
<sst xmlns="http://schemas.openxmlformats.org/spreadsheetml/2006/main" count="478" uniqueCount="134">
  <si>
    <t>Kommentar</t>
  </si>
  <si>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</si>
  <si>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</si>
  <si>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</si>
  <si>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</si>
  <si>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</si>
  <si>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</si>
  <si>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</si>
  <si>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</si>
  <si>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</si>
  <si>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Grossist</t>
  </si>
  <si>
    <t>Distributør</t>
  </si>
  <si>
    <t>Totalt antall</t>
  </si>
  <si>
    <t>Fordeling Aker Brygge (114)</t>
  </si>
  <si>
    <t>Fordeling Sandnes Kvadrat (116)</t>
  </si>
  <si>
    <t>Fordeling Storo (161)</t>
  </si>
  <si>
    <t>Fordeling Tromsø Langnes (282)</t>
  </si>
  <si>
    <t>Til butikksmaking</t>
  </si>
  <si>
    <t>Norge</t>
  </si>
  <si>
    <t xml:space="preserve">Cantillon </t>
  </si>
  <si>
    <t>Gueuze-Lambic BIO</t>
  </si>
  <si>
    <t>Belgia</t>
  </si>
  <si>
    <t>Kriek-Lambic BIO</t>
  </si>
  <si>
    <t>Cantillon</t>
  </si>
  <si>
    <t>Rosé de Gambrinus</t>
  </si>
  <si>
    <t>Grand Cru Bruocsella</t>
  </si>
  <si>
    <t>Sang Bleu</t>
  </si>
  <si>
    <t>Saint-Lamvinus</t>
  </si>
  <si>
    <t>Theakston's Brewery (T&amp;R Theakston Ltd)</t>
  </si>
  <si>
    <t>Old Peculier</t>
  </si>
  <si>
    <t>England</t>
  </si>
  <si>
    <t>Traquair House Brewery</t>
  </si>
  <si>
    <t>House Ale</t>
  </si>
  <si>
    <t>Skottland</t>
  </si>
  <si>
    <t>Jacobite Ale</t>
  </si>
  <si>
    <t>Brasserie Lefebvre</t>
  </si>
  <si>
    <t>Rouge de Bruxelles</t>
  </si>
  <si>
    <t>Hopus</t>
  </si>
  <si>
    <t>Babar Rouge</t>
  </si>
  <si>
    <t>Brasserie Gôde</t>
  </si>
  <si>
    <t xml:space="preserve">Gôde </t>
  </si>
  <si>
    <t xml:space="preserve">Frankrike </t>
  </si>
  <si>
    <t>Brew York x Adnams</t>
  </si>
  <si>
    <t>Wayward Distraction</t>
  </si>
  <si>
    <t>Brew York x Naparbier</t>
  </si>
  <si>
    <t>BA The Revenge Red Wine Edition</t>
  </si>
  <si>
    <t>Marlobobo</t>
  </si>
  <si>
    <t>Marlobobo Punny Pollination Dan The Lying King</t>
  </si>
  <si>
    <t>Mjød</t>
  </si>
  <si>
    <t>Marlobobo Punny Pollination Forest Gum</t>
  </si>
  <si>
    <t>Marlobobo Punny Pollination Barry Linden</t>
  </si>
  <si>
    <t>Marlobobo Punny Pollination Ace Sakura</t>
  </si>
  <si>
    <t>Marlobobo Punny Pollination Razz al drool</t>
  </si>
  <si>
    <t>Marlobobo Dessert Island</t>
  </si>
  <si>
    <t>3 Sons</t>
  </si>
  <si>
    <t>Broward County Brand S'Mores Stout</t>
  </si>
  <si>
    <t>USA</t>
  </si>
  <si>
    <t>Dogfish Head Brewery</t>
  </si>
  <si>
    <t>90 minute IPA</t>
  </si>
  <si>
    <t>60 Minute IPA</t>
  </si>
  <si>
    <t>Left Hand Brewing</t>
  </si>
  <si>
    <t>Wake Up Dead</t>
  </si>
  <si>
    <t xml:space="preserve">Voodoo Brewing </t>
  </si>
  <si>
    <t>Big Black Voodoo Daddy</t>
  </si>
  <si>
    <t>Vocation</t>
  </si>
  <si>
    <t>Toasted S'mores</t>
  </si>
  <si>
    <t>Imperial Tonka Frappe</t>
  </si>
  <si>
    <t>71  Brewing</t>
  </si>
  <si>
    <t>Fuzz Buster</t>
  </si>
  <si>
    <t>71 Brewing</t>
  </si>
  <si>
    <t>Hazy Halo Peach</t>
  </si>
  <si>
    <t>Black Isle Brewing</t>
  </si>
  <si>
    <t>Hibernator</t>
  </si>
  <si>
    <t>Scotch Ale</t>
  </si>
  <si>
    <t>Mjøderiet</t>
  </si>
  <si>
    <t>Mjøderiet Seidekunst</t>
  </si>
  <si>
    <t>Mjøderiet Blueberry Waffles</t>
  </si>
  <si>
    <t>Brouwerij 3 Fonteinen</t>
  </si>
  <si>
    <t>Rabarber</t>
  </si>
  <si>
    <t>Druif Riesling sesong 21|22 Blend 50</t>
  </si>
  <si>
    <t>Druif Spätburgunder sesong 21|22 Blend 22</t>
  </si>
  <si>
    <t>Brouwerij de Glazen Toren</t>
  </si>
  <si>
    <t>Ondineke</t>
  </si>
  <si>
    <t>Browar Stu Mostow</t>
  </si>
  <si>
    <t>Chocolate Milk Stout Nitro</t>
  </si>
  <si>
    <t>Polen</t>
  </si>
  <si>
    <t>WRCLW</t>
  </si>
  <si>
    <t>Schops</t>
  </si>
  <si>
    <t xml:space="preserve">Amundsen </t>
  </si>
  <si>
    <t>DIC Mocha Ice Fudge Cake</t>
  </si>
  <si>
    <t xml:space="preserve">NON DOS </t>
  </si>
  <si>
    <t>Skanlog</t>
  </si>
  <si>
    <t>Le Bambocheur AS 927957558</t>
  </si>
  <si>
    <t>Le Bambocheur</t>
  </si>
  <si>
    <t>Norwegian Beverage Company</t>
  </si>
  <si>
    <t>Scanlog</t>
  </si>
  <si>
    <t>Einer Drinks AS</t>
  </si>
  <si>
    <t>Best Global Logistics</t>
  </si>
  <si>
    <t>CASK AS</t>
  </si>
  <si>
    <t>Vinhuset Oslo</t>
  </si>
  <si>
    <t>Bevhouse AS</t>
  </si>
  <si>
    <t>Vectura</t>
  </si>
  <si>
    <t>Strag AS</t>
  </si>
  <si>
    <t>Vectura AS</t>
  </si>
  <si>
    <t>Vectura As</t>
  </si>
  <si>
    <t>Daracha AS</t>
  </si>
  <si>
    <t>Holst Wines</t>
  </si>
  <si>
    <t>Cuveco</t>
  </si>
  <si>
    <t>Fludium AS</t>
  </si>
  <si>
    <t>Fordeling Oslo City (143)</t>
  </si>
  <si>
    <t>Fordeling Asker (202)</t>
  </si>
  <si>
    <t>Fordeling Lillehammer (263)</t>
  </si>
  <si>
    <t>Fordeling Drammen (468)</t>
  </si>
  <si>
    <t>Fordeling Bergen Storsenter (121)</t>
  </si>
  <si>
    <t>Fordeling Trondheim Torg (160)</t>
  </si>
  <si>
    <t>Fordeling Ålesund Moa (174)</t>
  </si>
  <si>
    <t>Fordeling Molde (244)</t>
  </si>
  <si>
    <t>Fordeling Kristiansand Lillemarkens (254)</t>
  </si>
  <si>
    <t>Fordeling Bodø City Nord (339)</t>
  </si>
  <si>
    <t>Fordeling Nettbutikk (801)</t>
  </si>
  <si>
    <t>Restfordeling</t>
  </si>
  <si>
    <t>Til presseprøving</t>
  </si>
  <si>
    <t>Til kvotering</t>
  </si>
  <si>
    <t>Surøl</t>
  </si>
  <si>
    <t>Spesial</t>
  </si>
  <si>
    <t>Scotch ale</t>
  </si>
  <si>
    <t>Lys ale</t>
  </si>
  <si>
    <t>Pale ale</t>
  </si>
  <si>
    <t>Porter &amp; stout</t>
  </si>
  <si>
    <t>India pale ale</t>
  </si>
  <si>
    <t>Klosterstil</t>
  </si>
  <si>
    <t>Storbritannia</t>
  </si>
  <si>
    <t>1 per kunder</t>
  </si>
  <si>
    <t>totalt 2 Cantillon varer per kunden hvorav en er Gueuze-Bio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</si>
</sst>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/>
    <xf numFmtId="1" fontId="0" fillId="0" borderId="0" xfId="0" applyNumberFormat="1" applyFont="1"/>
    <xf numFmtId="0" fontId="2" fillId="0" borderId="0" xfId="0" applyFont="1"/>
  </cellXfs>
  <cellStyles count="1">
    <cellStyle name="Normal" xfId="0" builtinId="0"/>
  </cellStyles>
  <dxfs count="10">
    <dxf>
      <numFmt numFmtId="4" formatCode="#,##0.00"/>
    </dxf>
    <dxf>
      <numFmt numFmtId="2" formatCode="0.00"/>
    </dxf>
    <dxf>
      <numFmt numFmtId="164" formatCode="0.000"/>
    </dxf>
    <dxf>
      <numFmt numFmtId="1" formatCode="0"/>
    </dxf>
    <dxf>
      <alignment horizontal="general" vertical="bottom" textRotation="0" wrapText="1" indent="0" justifyLastLine="0" shrinkToFit="0" readingOrder="0"/>
    </dxf>
    <dxf>
      <numFmt numFmtId="4" formatCode="#,##0.00"/>
    </dxf>
    <dxf>
      <numFmt numFmtId="2" formatCode="0.00"/>
    </dxf>
    <dxf>
      <numFmt numFmtId="164" formatCode="0.000"/>
    </dxf>
    <dxf>
      <numFmt numFmtId="1" formatCode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53430-30D6-498B-8322-F90321A429A2}" name="Tabell2" displayName="Tabell2" ref="A1:AF42" totalsRowShown="0" headerRowDxfId="9">
  <autoFilter ref="A1:AF42" xr:uid="{CE153430-30D6-498B-8322-F90321A429A2}"/>
  <tableColumns count="32">
    <tableColumn id="1" xr3:uid="{09335C99-16F5-4CA8-B1D7-201284D539EE}" name="Kommentar"/>
    <tableColumn id="2" xr3:uid="{C21592B6-2407-4D99-9466-BD7E83315AF3}" name="Artikkelnr." dataDxfId="8"/>
    <tableColumn id="3" xr3:uid="{B17D3F20-9054-4DA3-9C59-04B133016525}" name="Produsent"/>
    <tableColumn id="4" xr3:uid="{F22AD224-5C61-4FEB-96D2-690CA0D050CF}" name="Produktnavn"/>
    <tableColumn id="5" xr3:uid="{F7663514-2734-4DE4-88CB-366B9750AC71}" name="Årgang"/>
    <tableColumn id="6" xr3:uid="{EBE3B68F-ADB4-48E3-A907-C70A1EFB04C8}" name="Land"/>
    <tableColumn id="7" xr3:uid="{EF17A07A-CCC7-411B-9351-6D6A6FE12A37}" name="Varetype"/>
    <tableColumn id="8" xr3:uid="{966A4588-9E52-49FD-8016-1630C78BFBBE}" name="Volum" dataDxfId="7"/>
    <tableColumn id="9" xr3:uid="{0F5559B7-A7E9-48ED-B090-7BD40934A828}" name="Alkohol" dataDxfId="6"/>
    <tableColumn id="10" xr3:uid="{AE9503CA-C150-4A73-A474-CAE601FDB3C9}" name="Salgspris" dataDxfId="5"/>
    <tableColumn id="11" xr3:uid="{811A5B8C-34F4-4C00-BB14-2C9209018212}" name="Grossist"/>
    <tableColumn id="12" xr3:uid="{0B6A9114-92C8-46AE-9BB7-404FB8D4C8A9}" name="Distributør"/>
    <tableColumn id="13" xr3:uid="{F8103985-E6C1-4CE1-A85F-0B3C1987CAC1}" name="Totalt antall"/>
    <tableColumn id="14" xr3:uid="{56FC66F6-9A83-4F9B-A991-28764E7D4C1C}" name="Fordeling Oslo City (143)"/>
    <tableColumn id="15" xr3:uid="{BDDD42B0-81C4-4B7A-AF52-D7B600A62993}" name="Fordeling Storo (161)"/>
    <tableColumn id="16" xr3:uid="{F933BE27-36CE-4F9E-A904-AEA0740158E9}" name="Fordeling Aker Brygge (114)"/>
    <tableColumn id="17" xr3:uid="{72D91BD5-3BF8-43A7-AA09-3EA228964BCF}" name="Fordeling Asker (202)"/>
    <tableColumn id="18" xr3:uid="{DCDDFF0D-E8A6-4787-94DB-4721E3074F84}" name="Fordeling Lillehammer (263)"/>
    <tableColumn id="19" xr3:uid="{596FF882-7109-454F-B9DF-5E7ACC159D2E}" name="Fordeling Drammen (468)"/>
    <tableColumn id="20" xr3:uid="{38C248A6-0530-4654-93D6-628551B91B9B}" name="Fordeling Bergen Storsenter (121)"/>
    <tableColumn id="21" xr3:uid="{5A908F9C-6544-4FCA-B565-C33B694DC3D3}" name="Fordeling Sandnes Kvadrat (116)"/>
    <tableColumn id="22" xr3:uid="{6A55439E-DE1B-47EA-97BF-92DBA19BBCB5}" name="Fordeling Trondheim Torg (160)"/>
    <tableColumn id="23" xr3:uid="{9DB67E3E-F739-4753-908E-145AD7FFE34E}" name="Fordeling Ålesund Moa (174)"/>
    <tableColumn id="24" xr3:uid="{C5855662-4F55-4A37-8EAC-A83E1B628871}" name="Fordeling Tromsø Langnes (282)"/>
    <tableColumn id="25" xr3:uid="{8E873525-338F-47D3-A823-FFFB43477970}" name="Fordeling Molde (244)"/>
    <tableColumn id="26" xr3:uid="{61A8F31F-90E1-4E5A-A3C1-4B6D0CF99242}" name="Fordeling Kristiansand Lillemarkens (254)"/>
    <tableColumn id="27" xr3:uid="{A8348007-412C-4636-8D42-D60CF73AF25C}" name="Fordeling Bodø City Nord (339)"/>
    <tableColumn id="28" xr3:uid="{B4682EF5-344B-47F2-BEB8-1A86DA58762A}" name="Fordeling Nettbutikk (801)"/>
    <tableColumn id="29" xr3:uid="{F8EF031B-F647-41B4-B7D5-5965FD025B09}" name="Restfordeling">
      <calculatedColumnFormula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calculatedColumnFormula>
    </tableColumn>
    <tableColumn id="30" xr3:uid="{56912E80-60B4-4DE7-9BD4-51B1643700A5}" name="Til presseprøving"/>
    <tableColumn id="31" xr3:uid="{48527671-3459-4464-B3C5-C4B750365097}" name="Til butikksmaking"/>
    <tableColumn id="32" xr3:uid="{843B3E09-D01B-412F-84A0-7FD66C8042EF}" name="Til kvoter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5BE34-4F1B-4E82-B657-ADB55FEE0607}" name="Tabell22" displayName="Tabell22" ref="A1:Y42" totalsRowShown="0" headerRowDxfId="4">
  <autoFilter ref="A1:Y42" xr:uid="{5EC5BE34-4F1B-4E82-B657-ADB55FEE0607}"/>
  <sortState xmlns:xlrd2="http://schemas.microsoft.com/office/spreadsheetml/2017/richdata2" ref="A2:Y42">
    <sortCondition ref="E2:E42"/>
    <sortCondition ref="F2:F42"/>
  </sortState>
  <tableColumns count="25">
    <tableColumn id="2" xr3:uid="{D5091B66-AA1C-45BA-9B3D-E6BB7E52B87B}" name="Artikkelnr." dataDxfId="3"/>
    <tableColumn id="3" xr3:uid="{E8164D1C-6DB3-4F7C-BDA1-7BE7E6529A86}" name="Produsent"/>
    <tableColumn id="4" xr3:uid="{0D76A701-51C0-45E4-B60C-E414BA370B56}" name="Produktnavn"/>
    <tableColumn id="5" xr3:uid="{93EA9BDC-D85E-40C4-97CA-869B1CA4E50B}" name="Årgang"/>
    <tableColumn id="6" xr3:uid="{53E8C293-5487-4733-9510-FBBCD6760939}" name="Land"/>
    <tableColumn id="7" xr3:uid="{2CC834D3-06FE-4ECA-B076-0D63637FA7E4}" name="Varetype"/>
    <tableColumn id="8" xr3:uid="{88CFDA2D-223A-405E-9416-35BD08298E6E}" name="Volum" dataDxfId="2"/>
    <tableColumn id="9" xr3:uid="{9EE8A2E5-ACDD-44B3-9FE6-95765FB629F8}" name="Alkohol" dataDxfId="1"/>
    <tableColumn id="10" xr3:uid="{FD9BD7B7-0B37-4ECA-99D2-20EB800FA860}" name="Salgspris" dataDxfId="0"/>
    <tableColumn id="13" xr3:uid="{F97D35C9-8352-4D58-8E67-7B0B52224BF3}" name="Totalt antall"/>
    <tableColumn id="14" xr3:uid="{975AB2B1-81F9-48C0-9967-1E4ABD08D698}" name="Fordeling Oslo City (143)"/>
    <tableColumn id="15" xr3:uid="{57865C8C-38C1-4220-97E6-46EE2A3237E6}" name="Fordeling Storo (161)"/>
    <tableColumn id="16" xr3:uid="{A4F7CBE1-10A4-4D5D-A69E-D1773441D29D}" name="Fordeling Aker Brygge (114)"/>
    <tableColumn id="17" xr3:uid="{93BCF11B-5314-44B2-B98B-DB5AB4839B44}" name="Fordeling Asker (202)"/>
    <tableColumn id="18" xr3:uid="{AFECC12F-9566-4FD1-BA60-11D26F9277A9}" name="Fordeling Lillehammer (263)"/>
    <tableColumn id="19" xr3:uid="{E2E801B8-F35C-4F0E-8169-2A924C518DEE}" name="Fordeling Drammen (468)"/>
    <tableColumn id="20" xr3:uid="{F4D816D6-DB48-4985-BC2C-AD79F5AF1BEE}" name="Fordeling Bergen Storsenter (121)"/>
    <tableColumn id="21" xr3:uid="{CAA7599B-131A-486F-BDB6-B166DCE2540F}" name="Fordeling Sandnes Kvadrat (116)"/>
    <tableColumn id="22" xr3:uid="{D9386BB7-E1C1-4A7D-9805-1614F77C41BB}" name="Fordeling Trondheim Torg (160)"/>
    <tableColumn id="23" xr3:uid="{8950051D-1572-41FC-B158-2C2D6AF0408A}" name="Fordeling Ålesund Moa (174)"/>
    <tableColumn id="24" xr3:uid="{27415F79-ACA0-4C92-94AF-3E128C127003}" name="Fordeling Tromsø Langnes (282)"/>
    <tableColumn id="25" xr3:uid="{4282CB9E-83AE-42DC-AABD-212E4B10891C}" name="Fordeling Molde (244)"/>
    <tableColumn id="26" xr3:uid="{5EFD2D8E-189A-417F-BEC5-27244EFD5895}" name="Fordeling Kristiansand Lillemarkens (254)"/>
    <tableColumn id="27" xr3:uid="{1AD1BA32-7DAA-4EC9-B3C7-1C8572418D39}" name="Fordeling Bodø City Nord (339)"/>
    <tableColumn id="28" xr3:uid="{3EBF375D-26AB-4C50-AF55-5E3A6F695BC5}" name="Fordeling Nettbutikk (801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8899-13CF-41D3-8E50-AE37C9F54430}">
  <dimension ref="A1:AF46"/>
  <sheetViews>
    <sheetView topLeftCell="S31" zoomScale="80" zoomScaleNormal="80" workbookViewId="0">
      <selection sqref="A1:AF42"/>
    </sheetView>
  </sheetViews>
  <sheetFormatPr baseColWidth="10" defaultColWidth="11.42578125" defaultRowHeight="15" x14ac:dyDescent="0.25"/>
  <cols>
    <col min="1" max="1" width="13.5703125" customWidth="1"/>
    <col min="2" max="2" width="12.5703125" style="5" customWidth="1"/>
    <col min="3" max="3" width="16.85546875" customWidth="1"/>
    <col min="4" max="4" width="41.7109375" customWidth="1"/>
    <col min="5" max="5" width="13.85546875" customWidth="1"/>
    <col min="6" max="6" width="11.42578125" customWidth="1"/>
    <col min="7" max="7" width="18.5703125" customWidth="1"/>
    <col min="8" max="9" width="11.42578125" customWidth="1"/>
    <col min="10" max="10" width="13.42578125" customWidth="1"/>
    <col min="11" max="11" width="14.85546875" customWidth="1"/>
    <col min="12" max="12" width="11.5703125" customWidth="1"/>
    <col min="13" max="21" width="14.7109375" customWidth="1"/>
    <col min="22" max="22" width="13.85546875" customWidth="1"/>
    <col min="23" max="23" width="14.85546875" customWidth="1"/>
    <col min="24" max="24" width="11.5703125" customWidth="1"/>
    <col min="28" max="28" width="12.7109375" customWidth="1"/>
    <col min="29" max="29" width="13.5703125" customWidth="1"/>
  </cols>
  <sheetData>
    <row r="1" spans="1:32" s="3" customFormat="1" ht="46.5" customHeigh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109</v>
      </c>
      <c r="O1" s="3" t="s">
        <v>15</v>
      </c>
      <c r="P1" s="3" t="s">
        <v>13</v>
      </c>
      <c r="Q1" s="3" t="s">
        <v>110</v>
      </c>
      <c r="R1" s="3" t="s">
        <v>111</v>
      </c>
      <c r="S1" s="3" t="s">
        <v>112</v>
      </c>
      <c r="T1" s="3" t="s">
        <v>113</v>
      </c>
      <c r="U1" s="3" t="s">
        <v>14</v>
      </c>
      <c r="V1" s="3" t="s">
        <v>114</v>
      </c>
      <c r="W1" s="3" t="s">
        <v>115</v>
      </c>
      <c r="X1" s="3" t="s">
        <v>16</v>
      </c>
      <c r="Y1" s="3" t="s">
        <v>116</v>
      </c>
      <c r="Z1" s="3" t="s">
        <v>117</v>
      </c>
      <c r="AA1" s="3" t="s">
        <v>118</v>
      </c>
      <c r="AB1" s="3" t="s">
        <v>119</v>
      </c>
      <c r="AC1" s="3" t="s">
        <v>120</v>
      </c>
      <c r="AD1" s="3" t="s">
        <v>121</v>
      </c>
      <c r="AE1" s="3" t="s">
        <v>17</v>
      </c>
      <c r="AF1" s="3" t="s">
        <v>122</v>
      </c>
    </row>
    <row r="2" spans="1:32" ht="31.9" customHeight="1" x14ac:dyDescent="0.25">
      <c r="B2" s="5">
        <v>16450401</v>
      </c>
      <c r="C2" t="s">
        <v>19</v>
      </c>
      <c r="D2" t="s">
        <v>20</v>
      </c>
      <c r="F2" t="s">
        <v>21</v>
      </c>
      <c r="G2" t="s">
        <v>123</v>
      </c>
      <c r="H2" s="6">
        <v>0.75</v>
      </c>
      <c r="I2" s="2">
        <v>5.5</v>
      </c>
      <c r="J2" s="1">
        <v>219.9</v>
      </c>
      <c r="K2" t="s">
        <v>90</v>
      </c>
      <c r="L2" t="s">
        <v>91</v>
      </c>
      <c r="M2">
        <v>260</v>
      </c>
      <c r="N2">
        <v>24</v>
      </c>
      <c r="O2">
        <v>18</v>
      </c>
      <c r="P2">
        <v>12</v>
      </c>
      <c r="Q2">
        <v>12</v>
      </c>
      <c r="R2">
        <v>12</v>
      </c>
      <c r="S2">
        <v>12</v>
      </c>
      <c r="T2">
        <v>36</v>
      </c>
      <c r="U2">
        <v>36</v>
      </c>
      <c r="V2">
        <v>24</v>
      </c>
      <c r="W2">
        <v>12</v>
      </c>
      <c r="X2">
        <v>12</v>
      </c>
      <c r="Y2">
        <v>12</v>
      </c>
      <c r="Z2">
        <v>12</v>
      </c>
      <c r="AA2">
        <v>12</v>
      </c>
      <c r="AB2">
        <v>14</v>
      </c>
      <c r="AC2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2">
        <v>1</v>
      </c>
      <c r="AE2">
        <v>3</v>
      </c>
      <c r="AF2" t="s">
        <v>133</v>
      </c>
    </row>
    <row r="3" spans="1:32" ht="31.9" customHeight="1" x14ac:dyDescent="0.25">
      <c r="B3" s="5">
        <v>16450201</v>
      </c>
      <c r="C3" t="s">
        <v>19</v>
      </c>
      <c r="D3" t="s">
        <v>22</v>
      </c>
      <c r="F3" t="s">
        <v>21</v>
      </c>
      <c r="G3" t="s">
        <v>123</v>
      </c>
      <c r="H3" s="6">
        <v>0.75</v>
      </c>
      <c r="I3" s="2">
        <v>6</v>
      </c>
      <c r="J3" s="1">
        <v>260</v>
      </c>
      <c r="K3" t="s">
        <v>90</v>
      </c>
      <c r="L3" t="s">
        <v>91</v>
      </c>
      <c r="M3">
        <v>36</v>
      </c>
      <c r="N3">
        <v>5</v>
      </c>
      <c r="O3">
        <v>2</v>
      </c>
      <c r="P3">
        <v>2</v>
      </c>
      <c r="Q3">
        <v>1</v>
      </c>
      <c r="R3">
        <v>1</v>
      </c>
      <c r="S3">
        <v>1</v>
      </c>
      <c r="T3">
        <v>6</v>
      </c>
      <c r="U3">
        <v>6</v>
      </c>
      <c r="V3">
        <v>5</v>
      </c>
      <c r="W3">
        <v>1</v>
      </c>
      <c r="X3">
        <v>1</v>
      </c>
      <c r="Y3">
        <v>1</v>
      </c>
      <c r="Z3">
        <v>1</v>
      </c>
      <c r="AA3">
        <v>1</v>
      </c>
      <c r="AB3">
        <v>2</v>
      </c>
      <c r="AC3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3">
        <v>1</v>
      </c>
      <c r="AF3" t="s">
        <v>133</v>
      </c>
    </row>
    <row r="4" spans="1:32" ht="31.9" customHeight="1" x14ac:dyDescent="0.25">
      <c r="B4" s="5">
        <v>16450501</v>
      </c>
      <c r="C4" t="s">
        <v>23</v>
      </c>
      <c r="D4" t="s">
        <v>24</v>
      </c>
      <c r="F4" t="s">
        <v>21</v>
      </c>
      <c r="G4" t="s">
        <v>123</v>
      </c>
      <c r="H4" s="6">
        <v>0.75</v>
      </c>
      <c r="I4" s="2">
        <v>5</v>
      </c>
      <c r="J4" s="1">
        <v>259.89999999999998</v>
      </c>
      <c r="K4" t="s">
        <v>90</v>
      </c>
      <c r="L4" t="s">
        <v>91</v>
      </c>
      <c r="M4">
        <v>24</v>
      </c>
      <c r="N4">
        <v>5</v>
      </c>
      <c r="O4">
        <v>1</v>
      </c>
      <c r="P4">
        <v>1</v>
      </c>
      <c r="T4">
        <v>4</v>
      </c>
      <c r="U4">
        <v>5</v>
      </c>
      <c r="V4">
        <v>4</v>
      </c>
      <c r="X4">
        <v>2</v>
      </c>
      <c r="AB4">
        <v>2</v>
      </c>
      <c r="AC4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4">
        <v>1</v>
      </c>
      <c r="AF4" t="s">
        <v>133</v>
      </c>
    </row>
    <row r="5" spans="1:32" ht="31.9" customHeight="1" x14ac:dyDescent="0.25">
      <c r="B5" s="5">
        <v>16450601</v>
      </c>
      <c r="C5" t="s">
        <v>23</v>
      </c>
      <c r="D5" t="s">
        <v>25</v>
      </c>
      <c r="F5" t="s">
        <v>21</v>
      </c>
      <c r="G5" t="s">
        <v>123</v>
      </c>
      <c r="H5" s="6">
        <v>0.75</v>
      </c>
      <c r="I5" s="2">
        <v>5</v>
      </c>
      <c r="J5" s="1">
        <v>259.89999999999998</v>
      </c>
      <c r="K5" t="s">
        <v>90</v>
      </c>
      <c r="L5" t="s">
        <v>91</v>
      </c>
      <c r="M5">
        <v>48</v>
      </c>
      <c r="N5">
        <v>8</v>
      </c>
      <c r="O5">
        <v>3</v>
      </c>
      <c r="P5">
        <v>3</v>
      </c>
      <c r="Q5">
        <v>1</v>
      </c>
      <c r="R5">
        <v>1</v>
      </c>
      <c r="S5">
        <v>1</v>
      </c>
      <c r="T5">
        <v>6</v>
      </c>
      <c r="U5">
        <v>6</v>
      </c>
      <c r="V5">
        <v>6</v>
      </c>
      <c r="W5">
        <v>1</v>
      </c>
      <c r="X5">
        <v>3</v>
      </c>
      <c r="Y5">
        <v>1</v>
      </c>
      <c r="Z5">
        <v>1</v>
      </c>
      <c r="AA5">
        <v>1</v>
      </c>
      <c r="AB5">
        <v>6</v>
      </c>
      <c r="AC5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5">
        <v>1</v>
      </c>
      <c r="AE5">
        <v>2</v>
      </c>
      <c r="AF5" t="s">
        <v>133</v>
      </c>
    </row>
    <row r="6" spans="1:32" ht="31.9" customHeight="1" x14ac:dyDescent="0.25">
      <c r="B6" s="5">
        <v>16450301</v>
      </c>
      <c r="C6" t="s">
        <v>23</v>
      </c>
      <c r="D6" t="s">
        <v>26</v>
      </c>
      <c r="F6" t="s">
        <v>21</v>
      </c>
      <c r="G6" t="s">
        <v>123</v>
      </c>
      <c r="H6" s="6">
        <v>0.75</v>
      </c>
      <c r="I6" s="2">
        <v>6</v>
      </c>
      <c r="J6" s="1">
        <v>279.89999999999998</v>
      </c>
      <c r="K6" t="s">
        <v>90</v>
      </c>
      <c r="L6" t="s">
        <v>91</v>
      </c>
      <c r="M6">
        <v>20</v>
      </c>
      <c r="N6">
        <v>4</v>
      </c>
      <c r="O6">
        <v>1</v>
      </c>
      <c r="P6">
        <v>1</v>
      </c>
      <c r="T6">
        <v>4</v>
      </c>
      <c r="U6">
        <v>4</v>
      </c>
      <c r="V6">
        <v>3</v>
      </c>
      <c r="X6">
        <v>2</v>
      </c>
      <c r="AB6">
        <v>1</v>
      </c>
      <c r="AC6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6">
        <v>1</v>
      </c>
      <c r="AF6" t="s">
        <v>133</v>
      </c>
    </row>
    <row r="7" spans="1:32" ht="31.9" customHeight="1" x14ac:dyDescent="0.25">
      <c r="B7" s="5">
        <v>16450701</v>
      </c>
      <c r="C7" t="s">
        <v>23</v>
      </c>
      <c r="D7" t="s">
        <v>27</v>
      </c>
      <c r="F7" t="s">
        <v>21</v>
      </c>
      <c r="G7" t="s">
        <v>123</v>
      </c>
      <c r="H7" s="6">
        <v>0.75</v>
      </c>
      <c r="I7" s="2">
        <v>7.5</v>
      </c>
      <c r="J7" s="1">
        <v>299.89999999999998</v>
      </c>
      <c r="K7" t="s">
        <v>90</v>
      </c>
      <c r="L7" t="s">
        <v>91</v>
      </c>
      <c r="M7">
        <v>20</v>
      </c>
      <c r="N7">
        <v>4</v>
      </c>
      <c r="O7">
        <v>1</v>
      </c>
      <c r="P7">
        <v>1</v>
      </c>
      <c r="T7">
        <v>4</v>
      </c>
      <c r="U7">
        <v>4</v>
      </c>
      <c r="V7">
        <v>3</v>
      </c>
      <c r="X7">
        <v>2</v>
      </c>
      <c r="AB7">
        <v>1</v>
      </c>
      <c r="AC7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7">
        <v>1</v>
      </c>
      <c r="AF7" t="s">
        <v>133</v>
      </c>
    </row>
    <row r="8" spans="1:32" ht="31.9" customHeight="1" x14ac:dyDescent="0.25">
      <c r="B8" s="5">
        <v>16436902</v>
      </c>
      <c r="C8" t="s">
        <v>28</v>
      </c>
      <c r="D8" t="s">
        <v>29</v>
      </c>
      <c r="F8" t="s">
        <v>30</v>
      </c>
      <c r="G8" t="s">
        <v>124</v>
      </c>
      <c r="H8" s="6">
        <v>0.5</v>
      </c>
      <c r="I8" s="2">
        <v>5.6</v>
      </c>
      <c r="J8" s="1">
        <v>77.400000000000006</v>
      </c>
      <c r="K8" t="s">
        <v>92</v>
      </c>
      <c r="L8" t="s">
        <v>93</v>
      </c>
      <c r="M8">
        <v>352</v>
      </c>
      <c r="N8">
        <v>24</v>
      </c>
      <c r="O8">
        <v>24</v>
      </c>
      <c r="P8">
        <v>24</v>
      </c>
      <c r="Q8">
        <v>24</v>
      </c>
      <c r="R8">
        <v>24</v>
      </c>
      <c r="S8">
        <v>24</v>
      </c>
      <c r="T8">
        <v>24</v>
      </c>
      <c r="U8">
        <v>32</v>
      </c>
      <c r="V8">
        <v>24</v>
      </c>
      <c r="W8">
        <v>24</v>
      </c>
      <c r="X8">
        <v>24</v>
      </c>
      <c r="Y8">
        <v>24</v>
      </c>
      <c r="Z8">
        <v>24</v>
      </c>
      <c r="AA8">
        <v>24</v>
      </c>
      <c r="AB8">
        <v>8</v>
      </c>
      <c r="AC8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8">
        <v>1</v>
      </c>
      <c r="AE8">
        <v>5</v>
      </c>
    </row>
    <row r="9" spans="1:32" ht="31.9" customHeight="1" x14ac:dyDescent="0.25">
      <c r="B9" s="5">
        <v>16436602</v>
      </c>
      <c r="C9" t="s">
        <v>31</v>
      </c>
      <c r="D9" t="s">
        <v>32</v>
      </c>
      <c r="F9" t="s">
        <v>33</v>
      </c>
      <c r="G9" t="s">
        <v>125</v>
      </c>
      <c r="H9" s="6">
        <v>0.33</v>
      </c>
      <c r="I9" s="2">
        <v>7.2</v>
      </c>
      <c r="J9" s="1">
        <v>80.900000000000006</v>
      </c>
      <c r="K9" t="s">
        <v>92</v>
      </c>
      <c r="L9" t="s">
        <v>93</v>
      </c>
      <c r="M9">
        <v>360</v>
      </c>
      <c r="N9">
        <v>24</v>
      </c>
      <c r="O9">
        <v>24</v>
      </c>
      <c r="P9">
        <v>24</v>
      </c>
      <c r="Q9">
        <v>24</v>
      </c>
      <c r="R9">
        <v>24</v>
      </c>
      <c r="S9">
        <v>24</v>
      </c>
      <c r="T9">
        <v>24</v>
      </c>
      <c r="U9">
        <v>48</v>
      </c>
      <c r="V9">
        <v>24</v>
      </c>
      <c r="W9">
        <v>24</v>
      </c>
      <c r="X9">
        <v>24</v>
      </c>
      <c r="Y9">
        <v>24</v>
      </c>
      <c r="Z9">
        <v>24</v>
      </c>
      <c r="AA9">
        <v>24</v>
      </c>
      <c r="AC9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9">
        <v>1</v>
      </c>
      <c r="AE9">
        <v>6</v>
      </c>
    </row>
    <row r="10" spans="1:32" ht="31.9" customHeight="1" x14ac:dyDescent="0.25">
      <c r="B10" s="5">
        <v>16436502</v>
      </c>
      <c r="C10" t="s">
        <v>31</v>
      </c>
      <c r="D10" t="s">
        <v>34</v>
      </c>
      <c r="F10" t="s">
        <v>33</v>
      </c>
      <c r="G10" t="s">
        <v>125</v>
      </c>
      <c r="H10" s="6">
        <v>0.33</v>
      </c>
      <c r="I10" s="2">
        <v>8</v>
      </c>
      <c r="J10" s="1">
        <v>84.2</v>
      </c>
      <c r="K10" t="s">
        <v>92</v>
      </c>
      <c r="L10" t="s">
        <v>93</v>
      </c>
      <c r="M10">
        <v>240</v>
      </c>
      <c r="N10">
        <v>24</v>
      </c>
      <c r="O10">
        <v>24</v>
      </c>
      <c r="P10">
        <v>12</v>
      </c>
      <c r="Q10">
        <v>12</v>
      </c>
      <c r="R10">
        <v>12</v>
      </c>
      <c r="S10">
        <v>12</v>
      </c>
      <c r="T10">
        <v>24</v>
      </c>
      <c r="U10">
        <v>24</v>
      </c>
      <c r="V10">
        <v>24</v>
      </c>
      <c r="W10">
        <v>12</v>
      </c>
      <c r="X10">
        <v>24</v>
      </c>
      <c r="Y10">
        <v>12</v>
      </c>
      <c r="Z10">
        <v>12</v>
      </c>
      <c r="AA10">
        <v>12</v>
      </c>
      <c r="AC10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10">
        <v>1</v>
      </c>
      <c r="AE10">
        <v>6</v>
      </c>
    </row>
    <row r="11" spans="1:32" ht="31.9" customHeight="1" x14ac:dyDescent="0.25">
      <c r="B11" s="5">
        <v>16436802</v>
      </c>
      <c r="C11" t="s">
        <v>35</v>
      </c>
      <c r="D11" t="s">
        <v>36</v>
      </c>
      <c r="F11" t="s">
        <v>21</v>
      </c>
      <c r="G11" t="s">
        <v>124</v>
      </c>
      <c r="H11" s="6">
        <v>0.33</v>
      </c>
      <c r="I11" s="2">
        <v>7</v>
      </c>
      <c r="J11" s="1">
        <v>83.4</v>
      </c>
      <c r="K11" t="s">
        <v>92</v>
      </c>
      <c r="L11" t="s">
        <v>93</v>
      </c>
      <c r="M11">
        <v>180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24</v>
      </c>
      <c r="V11">
        <v>12</v>
      </c>
      <c r="W11">
        <v>12</v>
      </c>
      <c r="X11">
        <v>12</v>
      </c>
      <c r="Y11">
        <v>12</v>
      </c>
      <c r="Z11">
        <v>12</v>
      </c>
      <c r="AA11">
        <v>12</v>
      </c>
      <c r="AC11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11">
        <v>1</v>
      </c>
      <c r="AE11">
        <v>6</v>
      </c>
    </row>
    <row r="12" spans="1:32" ht="31.9" customHeight="1" x14ac:dyDescent="0.25">
      <c r="B12" s="5">
        <v>16437002</v>
      </c>
      <c r="C12" t="s">
        <v>35</v>
      </c>
      <c r="D12" t="s">
        <v>37</v>
      </c>
      <c r="F12" t="s">
        <v>21</v>
      </c>
      <c r="G12" t="s">
        <v>126</v>
      </c>
      <c r="H12" s="6">
        <v>0.33</v>
      </c>
      <c r="I12" s="2">
        <v>8.3000000000000007</v>
      </c>
      <c r="J12" s="1">
        <v>86.5</v>
      </c>
      <c r="K12" t="s">
        <v>92</v>
      </c>
      <c r="L12" t="s">
        <v>93</v>
      </c>
      <c r="M12">
        <v>240</v>
      </c>
      <c r="N12">
        <v>24</v>
      </c>
      <c r="O12">
        <v>24</v>
      </c>
      <c r="P12">
        <v>12</v>
      </c>
      <c r="Q12">
        <v>12</v>
      </c>
      <c r="R12">
        <v>12</v>
      </c>
      <c r="S12">
        <v>12</v>
      </c>
      <c r="T12">
        <v>24</v>
      </c>
      <c r="U12">
        <v>24</v>
      </c>
      <c r="V12">
        <v>24</v>
      </c>
      <c r="W12">
        <v>12</v>
      </c>
      <c r="X12">
        <v>24</v>
      </c>
      <c r="Y12">
        <v>12</v>
      </c>
      <c r="Z12">
        <v>12</v>
      </c>
      <c r="AA12">
        <v>12</v>
      </c>
      <c r="AC12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12">
        <v>1</v>
      </c>
      <c r="AE12">
        <v>6</v>
      </c>
    </row>
    <row r="13" spans="1:32" ht="31.9" customHeight="1" x14ac:dyDescent="0.25">
      <c r="B13" s="5">
        <v>16436702</v>
      </c>
      <c r="C13" t="s">
        <v>35</v>
      </c>
      <c r="D13" t="s">
        <v>38</v>
      </c>
      <c r="F13" t="s">
        <v>21</v>
      </c>
      <c r="G13" t="s">
        <v>124</v>
      </c>
      <c r="H13" s="6">
        <v>0.33</v>
      </c>
      <c r="I13" s="2">
        <v>8</v>
      </c>
      <c r="J13" s="1">
        <v>84.2</v>
      </c>
      <c r="K13" t="s">
        <v>92</v>
      </c>
      <c r="L13" t="s">
        <v>93</v>
      </c>
      <c r="M13">
        <v>120</v>
      </c>
      <c r="N13">
        <v>12</v>
      </c>
      <c r="O13">
        <v>12</v>
      </c>
      <c r="P13">
        <v>6</v>
      </c>
      <c r="Q13">
        <v>6</v>
      </c>
      <c r="R13">
        <v>6</v>
      </c>
      <c r="S13">
        <v>6</v>
      </c>
      <c r="T13">
        <v>12</v>
      </c>
      <c r="U13">
        <v>12</v>
      </c>
      <c r="V13">
        <v>12</v>
      </c>
      <c r="W13">
        <v>6</v>
      </c>
      <c r="X13">
        <v>12</v>
      </c>
      <c r="Y13">
        <v>6</v>
      </c>
      <c r="Z13">
        <v>6</v>
      </c>
      <c r="AA13">
        <v>6</v>
      </c>
      <c r="AC13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13">
        <v>1</v>
      </c>
      <c r="AE13">
        <v>6</v>
      </c>
    </row>
    <row r="14" spans="1:32" ht="31.9" customHeight="1" x14ac:dyDescent="0.25">
      <c r="B14" s="5">
        <v>16442401</v>
      </c>
      <c r="C14" t="s">
        <v>39</v>
      </c>
      <c r="D14" t="s">
        <v>40</v>
      </c>
      <c r="F14" t="s">
        <v>41</v>
      </c>
      <c r="G14" t="s">
        <v>126</v>
      </c>
      <c r="H14" s="6">
        <v>0.75</v>
      </c>
      <c r="I14" s="2">
        <v>11.5</v>
      </c>
      <c r="J14" s="1">
        <v>399</v>
      </c>
      <c r="K14" t="s">
        <v>94</v>
      </c>
      <c r="L14" t="s">
        <v>95</v>
      </c>
      <c r="M14">
        <v>84</v>
      </c>
      <c r="N14">
        <v>12</v>
      </c>
      <c r="O14">
        <v>6</v>
      </c>
      <c r="P14">
        <v>6</v>
      </c>
      <c r="Q14">
        <v>4</v>
      </c>
      <c r="R14">
        <v>4</v>
      </c>
      <c r="S14">
        <v>4</v>
      </c>
      <c r="T14">
        <v>6</v>
      </c>
      <c r="U14">
        <v>12</v>
      </c>
      <c r="V14">
        <v>8</v>
      </c>
      <c r="W14">
        <v>4</v>
      </c>
      <c r="X14">
        <v>6</v>
      </c>
      <c r="Y14">
        <v>4</v>
      </c>
      <c r="Z14">
        <v>4</v>
      </c>
      <c r="AA14">
        <v>4</v>
      </c>
      <c r="AC14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14">
        <v>1</v>
      </c>
      <c r="AE14">
        <v>3</v>
      </c>
    </row>
    <row r="15" spans="1:32" ht="31.9" customHeight="1" x14ac:dyDescent="0.25">
      <c r="B15" s="5">
        <v>16450002</v>
      </c>
      <c r="C15" t="s">
        <v>42</v>
      </c>
      <c r="D15" t="s">
        <v>43</v>
      </c>
      <c r="F15" t="s">
        <v>30</v>
      </c>
      <c r="G15" t="s">
        <v>127</v>
      </c>
      <c r="H15" s="6">
        <v>0.44</v>
      </c>
      <c r="I15" s="2">
        <v>5.3</v>
      </c>
      <c r="J15" s="1">
        <v>97.5</v>
      </c>
      <c r="K15" t="s">
        <v>96</v>
      </c>
      <c r="L15" t="s">
        <v>97</v>
      </c>
      <c r="M15">
        <v>252</v>
      </c>
      <c r="N15">
        <v>24</v>
      </c>
      <c r="O15">
        <v>24</v>
      </c>
      <c r="P15">
        <v>24</v>
      </c>
      <c r="Q15">
        <v>12</v>
      </c>
      <c r="R15">
        <v>12</v>
      </c>
      <c r="S15">
        <v>12</v>
      </c>
      <c r="T15">
        <v>24</v>
      </c>
      <c r="U15">
        <v>24</v>
      </c>
      <c r="V15">
        <v>24</v>
      </c>
      <c r="W15">
        <v>12</v>
      </c>
      <c r="X15">
        <v>24</v>
      </c>
      <c r="Y15">
        <v>12</v>
      </c>
      <c r="Z15">
        <v>12</v>
      </c>
      <c r="AA15">
        <v>12</v>
      </c>
      <c r="AC15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15">
        <v>1</v>
      </c>
      <c r="AE15">
        <v>5</v>
      </c>
    </row>
    <row r="16" spans="1:32" ht="31.9" customHeight="1" x14ac:dyDescent="0.25">
      <c r="B16" s="5">
        <v>16450102</v>
      </c>
      <c r="C16" t="s">
        <v>44</v>
      </c>
      <c r="D16" t="s">
        <v>45</v>
      </c>
      <c r="F16" t="s">
        <v>30</v>
      </c>
      <c r="G16" t="s">
        <v>128</v>
      </c>
      <c r="H16" s="6">
        <v>0.33</v>
      </c>
      <c r="I16" s="2">
        <v>12</v>
      </c>
      <c r="J16" s="1">
        <v>144.19999999999999</v>
      </c>
      <c r="K16" t="s">
        <v>96</v>
      </c>
      <c r="L16" t="s">
        <v>97</v>
      </c>
      <c r="M16">
        <v>120</v>
      </c>
      <c r="N16">
        <v>12</v>
      </c>
      <c r="O16">
        <v>12</v>
      </c>
      <c r="P16">
        <v>6</v>
      </c>
      <c r="Q16">
        <v>6</v>
      </c>
      <c r="R16">
        <v>6</v>
      </c>
      <c r="S16">
        <v>6</v>
      </c>
      <c r="T16">
        <v>12</v>
      </c>
      <c r="U16">
        <v>12</v>
      </c>
      <c r="V16">
        <v>12</v>
      </c>
      <c r="W16">
        <v>6</v>
      </c>
      <c r="X16">
        <v>12</v>
      </c>
      <c r="Y16">
        <v>6</v>
      </c>
      <c r="Z16">
        <v>6</v>
      </c>
      <c r="AA16">
        <v>6</v>
      </c>
      <c r="AC16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16">
        <v>1</v>
      </c>
      <c r="AE16">
        <v>6</v>
      </c>
    </row>
    <row r="17" spans="2:32" ht="31.9" customHeight="1" x14ac:dyDescent="0.25">
      <c r="B17" s="5">
        <v>16458302</v>
      </c>
      <c r="C17" t="s">
        <v>46</v>
      </c>
      <c r="D17" t="s">
        <v>47</v>
      </c>
      <c r="E17">
        <v>2022</v>
      </c>
      <c r="F17" t="s">
        <v>18</v>
      </c>
      <c r="G17" t="s">
        <v>48</v>
      </c>
      <c r="H17" s="6">
        <v>0.375</v>
      </c>
      <c r="I17" s="2">
        <v>11.5</v>
      </c>
      <c r="J17" s="1">
        <v>349.9</v>
      </c>
      <c r="K17" t="s">
        <v>98</v>
      </c>
      <c r="L17" t="s">
        <v>99</v>
      </c>
      <c r="M17">
        <v>42</v>
      </c>
      <c r="N17">
        <v>8</v>
      </c>
      <c r="O17">
        <v>3</v>
      </c>
      <c r="P17">
        <v>3</v>
      </c>
      <c r="Q17">
        <v>1</v>
      </c>
      <c r="R17">
        <v>1</v>
      </c>
      <c r="S17">
        <v>1</v>
      </c>
      <c r="T17">
        <v>6</v>
      </c>
      <c r="U17">
        <v>6</v>
      </c>
      <c r="V17">
        <v>6</v>
      </c>
      <c r="W17">
        <v>1</v>
      </c>
      <c r="X17">
        <v>3</v>
      </c>
      <c r="Y17">
        <v>1</v>
      </c>
      <c r="Z17">
        <v>1</v>
      </c>
      <c r="AA17">
        <v>1</v>
      </c>
      <c r="AC17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17">
        <v>1</v>
      </c>
      <c r="AF17" t="s">
        <v>132</v>
      </c>
    </row>
    <row r="18" spans="2:32" ht="31.9" customHeight="1" x14ac:dyDescent="0.25">
      <c r="B18" s="5">
        <v>16458202</v>
      </c>
      <c r="C18" t="s">
        <v>46</v>
      </c>
      <c r="D18" t="s">
        <v>49</v>
      </c>
      <c r="E18">
        <v>2022</v>
      </c>
      <c r="F18" t="s">
        <v>18</v>
      </c>
      <c r="G18" t="s">
        <v>48</v>
      </c>
      <c r="H18" s="6">
        <v>0.375</v>
      </c>
      <c r="I18" s="2">
        <v>11.5</v>
      </c>
      <c r="J18" s="1">
        <v>349.9</v>
      </c>
      <c r="K18" t="s">
        <v>98</v>
      </c>
      <c r="L18" t="s">
        <v>99</v>
      </c>
      <c r="M18">
        <v>42</v>
      </c>
      <c r="N18">
        <v>8</v>
      </c>
      <c r="O18">
        <v>3</v>
      </c>
      <c r="P18">
        <v>3</v>
      </c>
      <c r="Q18">
        <v>1</v>
      </c>
      <c r="R18">
        <v>1</v>
      </c>
      <c r="S18">
        <v>1</v>
      </c>
      <c r="T18">
        <v>6</v>
      </c>
      <c r="U18">
        <v>6</v>
      </c>
      <c r="V18">
        <v>6</v>
      </c>
      <c r="W18">
        <v>1</v>
      </c>
      <c r="X18">
        <v>3</v>
      </c>
      <c r="Y18">
        <v>1</v>
      </c>
      <c r="Z18">
        <v>1</v>
      </c>
      <c r="AA18">
        <v>1</v>
      </c>
      <c r="AC18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18">
        <v>1</v>
      </c>
      <c r="AF18" t="s">
        <v>132</v>
      </c>
    </row>
    <row r="19" spans="2:32" ht="31.9" customHeight="1" x14ac:dyDescent="0.25">
      <c r="B19" s="5">
        <v>16458602</v>
      </c>
      <c r="C19" t="s">
        <v>46</v>
      </c>
      <c r="D19" t="s">
        <v>50</v>
      </c>
      <c r="E19">
        <v>2022</v>
      </c>
      <c r="F19" t="s">
        <v>18</v>
      </c>
      <c r="G19" t="s">
        <v>48</v>
      </c>
      <c r="H19" s="6">
        <v>0.375</v>
      </c>
      <c r="I19" s="2">
        <v>11.5</v>
      </c>
      <c r="J19" s="1">
        <v>349.9</v>
      </c>
      <c r="K19" t="s">
        <v>98</v>
      </c>
      <c r="L19" t="s">
        <v>99</v>
      </c>
      <c r="M19">
        <v>42</v>
      </c>
      <c r="N19">
        <v>8</v>
      </c>
      <c r="O19">
        <v>3</v>
      </c>
      <c r="P19">
        <v>3</v>
      </c>
      <c r="Q19">
        <v>1</v>
      </c>
      <c r="R19">
        <v>1</v>
      </c>
      <c r="S19">
        <v>1</v>
      </c>
      <c r="T19">
        <v>6</v>
      </c>
      <c r="U19">
        <v>6</v>
      </c>
      <c r="V19">
        <v>6</v>
      </c>
      <c r="W19">
        <v>1</v>
      </c>
      <c r="X19">
        <v>3</v>
      </c>
      <c r="Y19">
        <v>1</v>
      </c>
      <c r="Z19">
        <v>1</v>
      </c>
      <c r="AA19">
        <v>1</v>
      </c>
      <c r="AC19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19">
        <v>1</v>
      </c>
      <c r="AF19" t="s">
        <v>132</v>
      </c>
    </row>
    <row r="20" spans="2:32" ht="31.9" customHeight="1" x14ac:dyDescent="0.25">
      <c r="B20" s="5">
        <v>16458102</v>
      </c>
      <c r="C20" t="s">
        <v>46</v>
      </c>
      <c r="D20" t="s">
        <v>51</v>
      </c>
      <c r="E20">
        <v>2022</v>
      </c>
      <c r="F20" t="s">
        <v>18</v>
      </c>
      <c r="G20" t="s">
        <v>48</v>
      </c>
      <c r="H20" s="6">
        <v>0.375</v>
      </c>
      <c r="I20" s="2">
        <v>11.5</v>
      </c>
      <c r="J20" s="1">
        <v>349.9</v>
      </c>
      <c r="K20" t="s">
        <v>98</v>
      </c>
      <c r="L20" t="s">
        <v>99</v>
      </c>
      <c r="M20">
        <v>60</v>
      </c>
      <c r="N20">
        <v>10</v>
      </c>
      <c r="O20">
        <v>6</v>
      </c>
      <c r="P20">
        <v>3</v>
      </c>
      <c r="Q20">
        <v>2</v>
      </c>
      <c r="R20">
        <v>2</v>
      </c>
      <c r="S20">
        <v>2</v>
      </c>
      <c r="T20">
        <v>6</v>
      </c>
      <c r="U20">
        <v>12</v>
      </c>
      <c r="V20">
        <v>6</v>
      </c>
      <c r="W20">
        <v>2</v>
      </c>
      <c r="X20">
        <v>3</v>
      </c>
      <c r="Y20">
        <v>2</v>
      </c>
      <c r="Z20">
        <v>2</v>
      </c>
      <c r="AA20">
        <v>2</v>
      </c>
      <c r="AC20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20">
        <v>1</v>
      </c>
      <c r="AE20">
        <v>3</v>
      </c>
      <c r="AF20" t="s">
        <v>132</v>
      </c>
    </row>
    <row r="21" spans="2:32" ht="31.9" customHeight="1" x14ac:dyDescent="0.25">
      <c r="B21" s="5">
        <v>16458502</v>
      </c>
      <c r="C21" t="s">
        <v>46</v>
      </c>
      <c r="D21" t="s">
        <v>52</v>
      </c>
      <c r="E21">
        <v>2022</v>
      </c>
      <c r="F21" t="s">
        <v>18</v>
      </c>
      <c r="G21" t="s">
        <v>48</v>
      </c>
      <c r="H21" s="6">
        <v>0.375</v>
      </c>
      <c r="I21" s="2">
        <v>11.5</v>
      </c>
      <c r="J21" s="1">
        <v>349.9</v>
      </c>
      <c r="K21" t="s">
        <v>98</v>
      </c>
      <c r="L21" t="s">
        <v>99</v>
      </c>
      <c r="M21">
        <v>60</v>
      </c>
      <c r="N21">
        <v>10</v>
      </c>
      <c r="O21">
        <v>6</v>
      </c>
      <c r="P21">
        <v>3</v>
      </c>
      <c r="Q21">
        <v>2</v>
      </c>
      <c r="R21">
        <v>2</v>
      </c>
      <c r="S21">
        <v>2</v>
      </c>
      <c r="T21">
        <v>6</v>
      </c>
      <c r="U21">
        <v>12</v>
      </c>
      <c r="V21">
        <v>6</v>
      </c>
      <c r="W21">
        <v>2</v>
      </c>
      <c r="X21">
        <v>3</v>
      </c>
      <c r="Y21">
        <v>2</v>
      </c>
      <c r="Z21">
        <v>2</v>
      </c>
      <c r="AA21">
        <v>2</v>
      </c>
      <c r="AC21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21">
        <v>1</v>
      </c>
      <c r="AE21">
        <v>3</v>
      </c>
      <c r="AF21" t="s">
        <v>132</v>
      </c>
    </row>
    <row r="22" spans="2:32" ht="31.9" customHeight="1" x14ac:dyDescent="0.25">
      <c r="B22" s="5">
        <v>16458402</v>
      </c>
      <c r="C22" t="s">
        <v>46</v>
      </c>
      <c r="D22" t="s">
        <v>53</v>
      </c>
      <c r="E22">
        <v>2022</v>
      </c>
      <c r="F22" t="s">
        <v>18</v>
      </c>
      <c r="G22" t="s">
        <v>48</v>
      </c>
      <c r="H22" s="6">
        <v>0.375</v>
      </c>
      <c r="I22" s="2">
        <v>14.5</v>
      </c>
      <c r="J22" s="1">
        <v>399.9</v>
      </c>
      <c r="K22" t="s">
        <v>98</v>
      </c>
      <c r="L22" t="s">
        <v>99</v>
      </c>
      <c r="M22">
        <v>150</v>
      </c>
      <c r="N22">
        <v>18</v>
      </c>
      <c r="O22">
        <v>12</v>
      </c>
      <c r="P22">
        <v>6</v>
      </c>
      <c r="Q22">
        <v>6</v>
      </c>
      <c r="R22">
        <v>6</v>
      </c>
      <c r="S22">
        <v>6</v>
      </c>
      <c r="T22">
        <v>18</v>
      </c>
      <c r="U22">
        <v>24</v>
      </c>
      <c r="V22">
        <v>18</v>
      </c>
      <c r="W22">
        <v>6</v>
      </c>
      <c r="X22">
        <v>6</v>
      </c>
      <c r="Y22">
        <v>6</v>
      </c>
      <c r="Z22">
        <v>6</v>
      </c>
      <c r="AA22">
        <v>6</v>
      </c>
      <c r="AB22">
        <v>6</v>
      </c>
      <c r="AC22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22">
        <v>1</v>
      </c>
      <c r="AE22">
        <v>3</v>
      </c>
    </row>
    <row r="23" spans="2:32" ht="31.9" customHeight="1" x14ac:dyDescent="0.25">
      <c r="B23" s="5">
        <v>16443502</v>
      </c>
      <c r="C23" t="s">
        <v>54</v>
      </c>
      <c r="D23" t="s">
        <v>55</v>
      </c>
      <c r="F23" t="s">
        <v>56</v>
      </c>
      <c r="G23" t="s">
        <v>128</v>
      </c>
      <c r="H23" s="6">
        <v>0.375</v>
      </c>
      <c r="I23" s="2">
        <v>14.4</v>
      </c>
      <c r="J23" s="1">
        <v>599.9</v>
      </c>
      <c r="K23" t="s">
        <v>98</v>
      </c>
      <c r="L23" t="s">
        <v>99</v>
      </c>
      <c r="M23">
        <v>34</v>
      </c>
      <c r="N23" s="8">
        <v>6</v>
      </c>
      <c r="O23" s="8">
        <v>2</v>
      </c>
      <c r="P23" s="8">
        <v>2</v>
      </c>
      <c r="Q23" s="8">
        <v>1</v>
      </c>
      <c r="R23" s="8">
        <v>1</v>
      </c>
      <c r="S23" s="8">
        <v>0</v>
      </c>
      <c r="T23" s="8">
        <v>5</v>
      </c>
      <c r="U23" s="8">
        <v>6</v>
      </c>
      <c r="V23" s="8">
        <v>5</v>
      </c>
      <c r="W23" s="8">
        <v>1</v>
      </c>
      <c r="X23" s="8">
        <v>2</v>
      </c>
      <c r="Y23" s="8">
        <v>1</v>
      </c>
      <c r="Z23" s="8">
        <v>1</v>
      </c>
      <c r="AA23" s="8">
        <v>1</v>
      </c>
      <c r="AB23" s="8">
        <v>0</v>
      </c>
      <c r="AC23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23">
        <v>1</v>
      </c>
      <c r="AE23">
        <v>3</v>
      </c>
    </row>
    <row r="24" spans="2:32" ht="31.9" customHeight="1" x14ac:dyDescent="0.25">
      <c r="B24" s="5">
        <v>16442302</v>
      </c>
      <c r="C24" t="s">
        <v>57</v>
      </c>
      <c r="D24" t="s">
        <v>58</v>
      </c>
      <c r="F24" t="s">
        <v>56</v>
      </c>
      <c r="G24" t="s">
        <v>129</v>
      </c>
      <c r="H24" s="6">
        <v>0.35499999999999998</v>
      </c>
      <c r="I24" s="2">
        <v>9</v>
      </c>
      <c r="J24" s="1">
        <v>149.9</v>
      </c>
      <c r="K24" t="s">
        <v>100</v>
      </c>
      <c r="L24" t="s">
        <v>101</v>
      </c>
      <c r="M24">
        <v>336</v>
      </c>
      <c r="N24">
        <v>24</v>
      </c>
      <c r="O24">
        <v>24</v>
      </c>
      <c r="P24">
        <v>12</v>
      </c>
      <c r="Q24">
        <v>12</v>
      </c>
      <c r="R24">
        <v>12</v>
      </c>
      <c r="S24">
        <v>12</v>
      </c>
      <c r="T24">
        <v>36</v>
      </c>
      <c r="U24">
        <v>36</v>
      </c>
      <c r="V24">
        <v>36</v>
      </c>
      <c r="W24">
        <v>24</v>
      </c>
      <c r="X24">
        <v>24</v>
      </c>
      <c r="Y24">
        <v>24</v>
      </c>
      <c r="Z24">
        <v>24</v>
      </c>
      <c r="AA24">
        <v>24</v>
      </c>
      <c r="AB24">
        <v>12</v>
      </c>
      <c r="AC24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24">
        <v>1</v>
      </c>
      <c r="AE24">
        <v>6</v>
      </c>
    </row>
    <row r="25" spans="2:32" ht="31.9" customHeight="1" x14ac:dyDescent="0.25">
      <c r="B25" s="5">
        <v>16442002</v>
      </c>
      <c r="C25" t="s">
        <v>57</v>
      </c>
      <c r="D25" t="s">
        <v>59</v>
      </c>
      <c r="F25" t="s">
        <v>56</v>
      </c>
      <c r="G25" t="s">
        <v>129</v>
      </c>
      <c r="H25" s="6">
        <v>0.35499999999999998</v>
      </c>
      <c r="I25" s="2">
        <v>6</v>
      </c>
      <c r="J25" s="1">
        <v>142.9</v>
      </c>
      <c r="K25" t="s">
        <v>100</v>
      </c>
      <c r="L25" t="s">
        <v>101</v>
      </c>
      <c r="M25">
        <v>336</v>
      </c>
      <c r="N25">
        <v>24</v>
      </c>
      <c r="O25">
        <v>24</v>
      </c>
      <c r="P25">
        <v>12</v>
      </c>
      <c r="Q25">
        <v>12</v>
      </c>
      <c r="R25">
        <v>12</v>
      </c>
      <c r="S25">
        <v>12</v>
      </c>
      <c r="T25">
        <v>36</v>
      </c>
      <c r="U25">
        <v>36</v>
      </c>
      <c r="V25">
        <v>36</v>
      </c>
      <c r="W25">
        <v>24</v>
      </c>
      <c r="X25">
        <v>24</v>
      </c>
      <c r="Y25">
        <v>24</v>
      </c>
      <c r="Z25">
        <v>24</v>
      </c>
      <c r="AA25">
        <v>24</v>
      </c>
      <c r="AB25">
        <v>12</v>
      </c>
      <c r="AC25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25">
        <v>1</v>
      </c>
      <c r="AE25">
        <v>6</v>
      </c>
    </row>
    <row r="26" spans="2:32" ht="31.9" customHeight="1" x14ac:dyDescent="0.25">
      <c r="B26" s="5">
        <v>16442202</v>
      </c>
      <c r="C26" t="s">
        <v>60</v>
      </c>
      <c r="D26" t="s">
        <v>61</v>
      </c>
      <c r="F26" t="s">
        <v>56</v>
      </c>
      <c r="G26" t="s">
        <v>128</v>
      </c>
      <c r="H26" s="6">
        <v>0.35499999999999998</v>
      </c>
      <c r="I26" s="2">
        <v>10.199999999999999</v>
      </c>
      <c r="J26" s="1">
        <v>149.9</v>
      </c>
      <c r="K26" t="s">
        <v>100</v>
      </c>
      <c r="L26" t="s">
        <v>101</v>
      </c>
      <c r="M26">
        <v>180</v>
      </c>
      <c r="N26">
        <v>12</v>
      </c>
      <c r="O26">
        <v>12</v>
      </c>
      <c r="P26">
        <v>12</v>
      </c>
      <c r="Q26">
        <v>12</v>
      </c>
      <c r="R26">
        <v>12</v>
      </c>
      <c r="S26">
        <v>12</v>
      </c>
      <c r="T26">
        <v>12</v>
      </c>
      <c r="U26">
        <v>12</v>
      </c>
      <c r="V26">
        <v>12</v>
      </c>
      <c r="W26">
        <v>12</v>
      </c>
      <c r="X26">
        <v>12</v>
      </c>
      <c r="Y26">
        <v>12</v>
      </c>
      <c r="Z26">
        <v>12</v>
      </c>
      <c r="AA26">
        <v>12</v>
      </c>
      <c r="AB26">
        <v>12</v>
      </c>
      <c r="AC26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26">
        <v>1</v>
      </c>
      <c r="AE26">
        <v>5</v>
      </c>
    </row>
    <row r="27" spans="2:32" ht="31.9" customHeight="1" x14ac:dyDescent="0.25">
      <c r="B27" s="5">
        <v>16442102</v>
      </c>
      <c r="C27" t="s">
        <v>62</v>
      </c>
      <c r="D27" t="s">
        <v>63</v>
      </c>
      <c r="F27" t="s">
        <v>56</v>
      </c>
      <c r="G27" t="s">
        <v>128</v>
      </c>
      <c r="H27" s="6">
        <v>0.35499999999999998</v>
      </c>
      <c r="I27" s="2">
        <v>12</v>
      </c>
      <c r="J27" s="1">
        <v>189.9</v>
      </c>
      <c r="K27" t="s">
        <v>100</v>
      </c>
      <c r="L27" t="s">
        <v>101</v>
      </c>
      <c r="M27">
        <v>144</v>
      </c>
      <c r="N27">
        <v>12</v>
      </c>
      <c r="O27">
        <v>12</v>
      </c>
      <c r="P27">
        <v>12</v>
      </c>
      <c r="Q27">
        <v>6</v>
      </c>
      <c r="R27">
        <v>6</v>
      </c>
      <c r="S27">
        <v>6</v>
      </c>
      <c r="T27">
        <v>12</v>
      </c>
      <c r="U27">
        <v>24</v>
      </c>
      <c r="V27">
        <v>12</v>
      </c>
      <c r="W27">
        <v>6</v>
      </c>
      <c r="X27">
        <v>12</v>
      </c>
      <c r="Y27">
        <v>6</v>
      </c>
      <c r="Z27">
        <v>6</v>
      </c>
      <c r="AA27">
        <v>6</v>
      </c>
      <c r="AB27">
        <v>6</v>
      </c>
      <c r="AC27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27">
        <v>1</v>
      </c>
      <c r="AE27">
        <v>5</v>
      </c>
    </row>
    <row r="28" spans="2:32" ht="31.9" customHeight="1" x14ac:dyDescent="0.25">
      <c r="B28" s="5">
        <v>16459002</v>
      </c>
      <c r="C28" t="s">
        <v>64</v>
      </c>
      <c r="D28" t="s">
        <v>65</v>
      </c>
      <c r="F28" t="s">
        <v>131</v>
      </c>
      <c r="G28" t="s">
        <v>128</v>
      </c>
      <c r="H28" s="6">
        <v>0.44</v>
      </c>
      <c r="I28" s="2">
        <v>12</v>
      </c>
      <c r="J28" s="1">
        <v>129.80000000000001</v>
      </c>
      <c r="K28" t="s">
        <v>102</v>
      </c>
      <c r="L28" t="s">
        <v>103</v>
      </c>
      <c r="M28">
        <v>120</v>
      </c>
      <c r="N28">
        <v>12</v>
      </c>
      <c r="O28">
        <v>12</v>
      </c>
      <c r="P28">
        <v>6</v>
      </c>
      <c r="Q28">
        <v>6</v>
      </c>
      <c r="R28">
        <v>6</v>
      </c>
      <c r="S28">
        <v>6</v>
      </c>
      <c r="T28">
        <v>12</v>
      </c>
      <c r="U28">
        <v>12</v>
      </c>
      <c r="V28">
        <v>12</v>
      </c>
      <c r="W28">
        <v>6</v>
      </c>
      <c r="X28">
        <v>12</v>
      </c>
      <c r="Y28">
        <v>6</v>
      </c>
      <c r="Z28">
        <v>6</v>
      </c>
      <c r="AA28">
        <v>6</v>
      </c>
      <c r="AC28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28">
        <v>1</v>
      </c>
      <c r="AE28">
        <v>4</v>
      </c>
    </row>
    <row r="29" spans="2:32" ht="31.9" customHeight="1" x14ac:dyDescent="0.25">
      <c r="B29" s="7">
        <v>16458702</v>
      </c>
      <c r="C29" t="s">
        <v>64</v>
      </c>
      <c r="D29" t="s">
        <v>66</v>
      </c>
      <c r="F29" t="s">
        <v>131</v>
      </c>
      <c r="G29" t="s">
        <v>128</v>
      </c>
      <c r="H29" s="6">
        <v>0.44</v>
      </c>
      <c r="I29" s="2">
        <v>12</v>
      </c>
      <c r="J29" s="1">
        <v>129.80000000000001</v>
      </c>
      <c r="K29" t="s">
        <v>102</v>
      </c>
      <c r="L29" t="s">
        <v>104</v>
      </c>
      <c r="M29">
        <v>120</v>
      </c>
      <c r="N29">
        <v>12</v>
      </c>
      <c r="O29">
        <v>12</v>
      </c>
      <c r="P29">
        <v>6</v>
      </c>
      <c r="Q29">
        <v>6</v>
      </c>
      <c r="R29">
        <v>6</v>
      </c>
      <c r="S29">
        <v>6</v>
      </c>
      <c r="T29">
        <v>12</v>
      </c>
      <c r="U29">
        <v>12</v>
      </c>
      <c r="V29">
        <v>12</v>
      </c>
      <c r="W29">
        <v>6</v>
      </c>
      <c r="X29">
        <v>12</v>
      </c>
      <c r="Y29">
        <v>6</v>
      </c>
      <c r="Z29">
        <v>6</v>
      </c>
      <c r="AA29">
        <v>6</v>
      </c>
      <c r="AC29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29">
        <v>1</v>
      </c>
      <c r="AE29">
        <v>4</v>
      </c>
    </row>
    <row r="30" spans="2:32" ht="31.9" customHeight="1" x14ac:dyDescent="0.25">
      <c r="B30" s="5">
        <v>16458902</v>
      </c>
      <c r="C30" t="s">
        <v>67</v>
      </c>
      <c r="D30" t="s">
        <v>68</v>
      </c>
      <c r="F30" t="s">
        <v>33</v>
      </c>
      <c r="G30" t="s">
        <v>129</v>
      </c>
      <c r="H30" s="6">
        <v>0.44</v>
      </c>
      <c r="I30" s="2">
        <v>7.5</v>
      </c>
      <c r="J30" s="1">
        <v>99.8</v>
      </c>
      <c r="K30" t="s">
        <v>102</v>
      </c>
      <c r="L30" t="s">
        <v>104</v>
      </c>
      <c r="M30">
        <v>180</v>
      </c>
      <c r="N30">
        <v>12</v>
      </c>
      <c r="O30">
        <v>12</v>
      </c>
      <c r="P30">
        <v>12</v>
      </c>
      <c r="Q30">
        <v>12</v>
      </c>
      <c r="R30">
        <v>12</v>
      </c>
      <c r="S30">
        <v>12</v>
      </c>
      <c r="T30">
        <v>12</v>
      </c>
      <c r="U30">
        <v>24</v>
      </c>
      <c r="V30">
        <v>12</v>
      </c>
      <c r="W30">
        <v>12</v>
      </c>
      <c r="X30">
        <v>12</v>
      </c>
      <c r="Y30">
        <v>12</v>
      </c>
      <c r="Z30">
        <v>12</v>
      </c>
      <c r="AA30">
        <v>12</v>
      </c>
      <c r="AC30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30">
        <v>1</v>
      </c>
      <c r="AE30">
        <v>5</v>
      </c>
    </row>
    <row r="31" spans="2:32" ht="31.9" customHeight="1" x14ac:dyDescent="0.25">
      <c r="B31" s="5">
        <v>16458802</v>
      </c>
      <c r="C31" t="s">
        <v>69</v>
      </c>
      <c r="D31" t="s">
        <v>70</v>
      </c>
      <c r="F31" t="s">
        <v>33</v>
      </c>
      <c r="G31" t="s">
        <v>129</v>
      </c>
      <c r="H31" s="6">
        <v>0.44</v>
      </c>
      <c r="I31" s="2">
        <v>5</v>
      </c>
      <c r="J31" s="1">
        <v>94.9</v>
      </c>
      <c r="K31" t="s">
        <v>102</v>
      </c>
      <c r="L31" t="s">
        <v>104</v>
      </c>
      <c r="M31">
        <v>180</v>
      </c>
      <c r="N31">
        <v>12</v>
      </c>
      <c r="O31">
        <v>12</v>
      </c>
      <c r="P31">
        <v>12</v>
      </c>
      <c r="Q31">
        <v>12</v>
      </c>
      <c r="R31">
        <v>12</v>
      </c>
      <c r="S31">
        <v>12</v>
      </c>
      <c r="T31">
        <v>12</v>
      </c>
      <c r="U31">
        <v>24</v>
      </c>
      <c r="V31">
        <v>12</v>
      </c>
      <c r="W31">
        <v>12</v>
      </c>
      <c r="X31">
        <v>12</v>
      </c>
      <c r="Y31">
        <v>12</v>
      </c>
      <c r="Z31">
        <v>12</v>
      </c>
      <c r="AA31">
        <v>12</v>
      </c>
      <c r="AC31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31">
        <v>1</v>
      </c>
      <c r="AE31">
        <v>5</v>
      </c>
    </row>
    <row r="32" spans="2:32" ht="31.9" customHeight="1" x14ac:dyDescent="0.25">
      <c r="B32" s="5">
        <v>16455302</v>
      </c>
      <c r="C32" t="s">
        <v>71</v>
      </c>
      <c r="D32" t="s">
        <v>72</v>
      </c>
      <c r="F32" t="s">
        <v>33</v>
      </c>
      <c r="G32" t="s">
        <v>128</v>
      </c>
      <c r="H32" s="6">
        <v>0.33</v>
      </c>
      <c r="I32" s="2">
        <v>7</v>
      </c>
      <c r="J32" s="1">
        <v>79.5</v>
      </c>
      <c r="K32" t="s">
        <v>105</v>
      </c>
      <c r="L32" t="s">
        <v>99</v>
      </c>
      <c r="M32">
        <v>240</v>
      </c>
      <c r="N32">
        <v>24</v>
      </c>
      <c r="O32">
        <v>24</v>
      </c>
      <c r="P32">
        <v>24</v>
      </c>
      <c r="Q32">
        <v>12</v>
      </c>
      <c r="R32">
        <v>12</v>
      </c>
      <c r="T32">
        <v>24</v>
      </c>
      <c r="U32">
        <v>24</v>
      </c>
      <c r="V32">
        <v>24</v>
      </c>
      <c r="W32">
        <v>12</v>
      </c>
      <c r="X32">
        <v>24</v>
      </c>
      <c r="Y32">
        <v>12</v>
      </c>
      <c r="Z32">
        <v>12</v>
      </c>
      <c r="AA32">
        <v>12</v>
      </c>
      <c r="AC32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32">
        <v>1</v>
      </c>
      <c r="AE32">
        <v>5</v>
      </c>
    </row>
    <row r="33" spans="2:31" ht="31.9" customHeight="1" x14ac:dyDescent="0.25">
      <c r="B33" s="5">
        <v>16455202</v>
      </c>
      <c r="C33" t="s">
        <v>71</v>
      </c>
      <c r="D33" t="s">
        <v>73</v>
      </c>
      <c r="F33" t="s">
        <v>33</v>
      </c>
      <c r="G33" t="s">
        <v>125</v>
      </c>
      <c r="H33" s="6">
        <v>0.33</v>
      </c>
      <c r="I33" s="2">
        <v>6.8</v>
      </c>
      <c r="J33" s="1">
        <v>79.8</v>
      </c>
      <c r="K33" t="s">
        <v>105</v>
      </c>
      <c r="L33" t="s">
        <v>99</v>
      </c>
      <c r="M33">
        <v>240</v>
      </c>
      <c r="N33">
        <v>24</v>
      </c>
      <c r="O33">
        <v>24</v>
      </c>
      <c r="P33">
        <v>24</v>
      </c>
      <c r="Q33">
        <v>12</v>
      </c>
      <c r="R33">
        <v>12</v>
      </c>
      <c r="T33">
        <v>24</v>
      </c>
      <c r="U33">
        <v>24</v>
      </c>
      <c r="V33">
        <v>24</v>
      </c>
      <c r="W33">
        <v>12</v>
      </c>
      <c r="X33">
        <v>24</v>
      </c>
      <c r="Y33">
        <v>12</v>
      </c>
      <c r="Z33">
        <v>12</v>
      </c>
      <c r="AA33">
        <v>12</v>
      </c>
      <c r="AC33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33">
        <v>1</v>
      </c>
      <c r="AE33">
        <v>5</v>
      </c>
    </row>
    <row r="34" spans="2:31" ht="31.9" customHeight="1" x14ac:dyDescent="0.25">
      <c r="B34" s="5">
        <v>16462304</v>
      </c>
      <c r="C34" t="s">
        <v>74</v>
      </c>
      <c r="D34" t="s">
        <v>75</v>
      </c>
      <c r="F34" t="s">
        <v>18</v>
      </c>
      <c r="G34" t="s">
        <v>48</v>
      </c>
      <c r="H34" s="6">
        <v>0.25</v>
      </c>
      <c r="I34" s="2">
        <v>12</v>
      </c>
      <c r="J34" s="1">
        <v>208.1</v>
      </c>
      <c r="K34" t="s">
        <v>74</v>
      </c>
      <c r="L34" t="s">
        <v>99</v>
      </c>
      <c r="M34">
        <v>168</v>
      </c>
      <c r="N34">
        <v>18</v>
      </c>
      <c r="O34">
        <v>12</v>
      </c>
      <c r="P34">
        <v>6</v>
      </c>
      <c r="Q34">
        <v>6</v>
      </c>
      <c r="R34">
        <v>6</v>
      </c>
      <c r="S34">
        <v>6</v>
      </c>
      <c r="T34">
        <v>42</v>
      </c>
      <c r="U34">
        <v>18</v>
      </c>
      <c r="V34">
        <v>18</v>
      </c>
      <c r="W34">
        <v>6</v>
      </c>
      <c r="X34">
        <v>6</v>
      </c>
      <c r="Y34">
        <v>6</v>
      </c>
      <c r="Z34">
        <v>6</v>
      </c>
      <c r="AA34">
        <v>6</v>
      </c>
      <c r="AB34">
        <v>6</v>
      </c>
      <c r="AC34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34">
        <v>1</v>
      </c>
      <c r="AE34">
        <v>4</v>
      </c>
    </row>
    <row r="35" spans="2:31" ht="31.9" customHeight="1" x14ac:dyDescent="0.25">
      <c r="B35" s="5">
        <v>16462204</v>
      </c>
      <c r="C35" t="s">
        <v>74</v>
      </c>
      <c r="D35" t="s">
        <v>76</v>
      </c>
      <c r="F35" t="s">
        <v>18</v>
      </c>
      <c r="G35" t="s">
        <v>48</v>
      </c>
      <c r="H35" s="6">
        <v>0.25</v>
      </c>
      <c r="I35" s="2">
        <v>14</v>
      </c>
      <c r="J35" s="1">
        <v>214.3</v>
      </c>
      <c r="K35" t="s">
        <v>74</v>
      </c>
      <c r="L35" t="s">
        <v>99</v>
      </c>
      <c r="M35">
        <v>432</v>
      </c>
      <c r="N35">
        <v>36</v>
      </c>
      <c r="O35">
        <v>24</v>
      </c>
      <c r="P35">
        <v>24</v>
      </c>
      <c r="Q35">
        <v>24</v>
      </c>
      <c r="R35">
        <v>24</v>
      </c>
      <c r="S35">
        <v>12</v>
      </c>
      <c r="T35">
        <v>72</v>
      </c>
      <c r="U35">
        <v>48</v>
      </c>
      <c r="V35">
        <v>30</v>
      </c>
      <c r="W35">
        <v>24</v>
      </c>
      <c r="X35">
        <v>30</v>
      </c>
      <c r="Y35">
        <v>24</v>
      </c>
      <c r="Z35">
        <v>24</v>
      </c>
      <c r="AA35">
        <v>24</v>
      </c>
      <c r="AB35">
        <v>12</v>
      </c>
      <c r="AC35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35">
        <v>1</v>
      </c>
      <c r="AE35">
        <v>4</v>
      </c>
    </row>
    <row r="36" spans="2:31" ht="31.9" customHeight="1" x14ac:dyDescent="0.25">
      <c r="B36" s="5">
        <v>16436301</v>
      </c>
      <c r="C36" t="s">
        <v>77</v>
      </c>
      <c r="D36" t="s">
        <v>78</v>
      </c>
      <c r="F36" t="s">
        <v>21</v>
      </c>
      <c r="G36" t="s">
        <v>123</v>
      </c>
      <c r="H36" s="6">
        <v>0.75</v>
      </c>
      <c r="I36" s="2">
        <v>5.0999999999999996</v>
      </c>
      <c r="J36" s="1">
        <v>309</v>
      </c>
      <c r="K36" t="s">
        <v>106</v>
      </c>
      <c r="L36" t="s">
        <v>107</v>
      </c>
      <c r="M36">
        <v>120</v>
      </c>
      <c r="N36">
        <v>12</v>
      </c>
      <c r="O36">
        <v>9</v>
      </c>
      <c r="P36">
        <v>6</v>
      </c>
      <c r="Q36">
        <v>6</v>
      </c>
      <c r="R36">
        <v>3</v>
      </c>
      <c r="T36">
        <v>15</v>
      </c>
      <c r="U36">
        <v>18</v>
      </c>
      <c r="V36">
        <v>15</v>
      </c>
      <c r="W36">
        <v>6</v>
      </c>
      <c r="X36">
        <v>12</v>
      </c>
      <c r="Y36">
        <v>6</v>
      </c>
      <c r="Z36">
        <v>6</v>
      </c>
      <c r="AA36">
        <v>6</v>
      </c>
      <c r="AC36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36">
        <v>1</v>
      </c>
      <c r="AE36">
        <v>3</v>
      </c>
    </row>
    <row r="37" spans="2:31" ht="31.9" customHeight="1" x14ac:dyDescent="0.25">
      <c r="B37" s="5">
        <v>16436201</v>
      </c>
      <c r="C37" t="s">
        <v>77</v>
      </c>
      <c r="D37" t="s">
        <v>79</v>
      </c>
      <c r="E37">
        <v>2021</v>
      </c>
      <c r="F37" t="s">
        <v>21</v>
      </c>
      <c r="G37" t="s">
        <v>123</v>
      </c>
      <c r="H37" s="6">
        <v>0.75</v>
      </c>
      <c r="I37" s="2">
        <v>8.1</v>
      </c>
      <c r="J37" s="1">
        <v>350</v>
      </c>
      <c r="K37" t="s">
        <v>106</v>
      </c>
      <c r="L37" t="s">
        <v>107</v>
      </c>
      <c r="M37">
        <v>60</v>
      </c>
      <c r="N37">
        <v>6</v>
      </c>
      <c r="O37">
        <v>6</v>
      </c>
      <c r="P37">
        <v>2</v>
      </c>
      <c r="Q37">
        <v>2</v>
      </c>
      <c r="T37">
        <v>8</v>
      </c>
      <c r="U37">
        <v>12</v>
      </c>
      <c r="V37">
        <v>6</v>
      </c>
      <c r="W37">
        <v>2</v>
      </c>
      <c r="X37">
        <v>6</v>
      </c>
      <c r="Y37">
        <v>2</v>
      </c>
      <c r="Z37">
        <v>6</v>
      </c>
      <c r="AA37">
        <v>2</v>
      </c>
      <c r="AC37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37">
        <v>1</v>
      </c>
      <c r="AE37">
        <v>3</v>
      </c>
    </row>
    <row r="38" spans="2:31" ht="31.9" customHeight="1" x14ac:dyDescent="0.25">
      <c r="B38" s="5">
        <v>16436401</v>
      </c>
      <c r="C38" t="s">
        <v>77</v>
      </c>
      <c r="D38" t="s">
        <v>80</v>
      </c>
      <c r="E38">
        <v>2021</v>
      </c>
      <c r="F38" t="s">
        <v>21</v>
      </c>
      <c r="G38" t="s">
        <v>123</v>
      </c>
      <c r="H38" s="6">
        <v>0.75</v>
      </c>
      <c r="I38" s="2">
        <v>7.9</v>
      </c>
      <c r="J38" s="1">
        <v>350</v>
      </c>
      <c r="K38" t="s">
        <v>106</v>
      </c>
      <c r="L38" t="s">
        <v>107</v>
      </c>
      <c r="M38">
        <v>60</v>
      </c>
      <c r="N38">
        <v>6</v>
      </c>
      <c r="O38">
        <v>6</v>
      </c>
      <c r="P38">
        <v>2</v>
      </c>
      <c r="Q38">
        <v>2</v>
      </c>
      <c r="T38">
        <v>8</v>
      </c>
      <c r="U38">
        <v>12</v>
      </c>
      <c r="V38">
        <v>6</v>
      </c>
      <c r="W38">
        <v>2</v>
      </c>
      <c r="X38">
        <v>6</v>
      </c>
      <c r="Y38">
        <v>2</v>
      </c>
      <c r="Z38">
        <v>6</v>
      </c>
      <c r="AA38">
        <v>2</v>
      </c>
      <c r="AC38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38">
        <v>1</v>
      </c>
      <c r="AE38">
        <v>3</v>
      </c>
    </row>
    <row r="39" spans="2:31" ht="31.9" customHeight="1" x14ac:dyDescent="0.25">
      <c r="B39" s="5">
        <v>2199701</v>
      </c>
      <c r="C39" t="s">
        <v>81</v>
      </c>
      <c r="D39" t="s">
        <v>82</v>
      </c>
      <c r="F39" t="s">
        <v>21</v>
      </c>
      <c r="G39" t="s">
        <v>130</v>
      </c>
      <c r="H39" s="6">
        <v>0.75</v>
      </c>
      <c r="I39" s="2">
        <v>8.5</v>
      </c>
      <c r="J39" s="1">
        <v>149.9</v>
      </c>
      <c r="K39" t="s">
        <v>106</v>
      </c>
      <c r="L39" t="s">
        <v>107</v>
      </c>
      <c r="M39">
        <v>180</v>
      </c>
      <c r="N39">
        <v>12</v>
      </c>
      <c r="O39">
        <v>12</v>
      </c>
      <c r="P39">
        <v>12</v>
      </c>
      <c r="Q39">
        <v>12</v>
      </c>
      <c r="R39">
        <v>12</v>
      </c>
      <c r="S39">
        <v>12</v>
      </c>
      <c r="T39">
        <v>12</v>
      </c>
      <c r="U39">
        <v>24</v>
      </c>
      <c r="V39">
        <v>12</v>
      </c>
      <c r="W39">
        <v>12</v>
      </c>
      <c r="X39">
        <v>12</v>
      </c>
      <c r="Y39">
        <v>12</v>
      </c>
      <c r="Z39">
        <v>12</v>
      </c>
      <c r="AA39">
        <v>12</v>
      </c>
      <c r="AC39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39">
        <v>1</v>
      </c>
      <c r="AE39">
        <v>3</v>
      </c>
    </row>
    <row r="40" spans="2:31" ht="31.9" customHeight="1" x14ac:dyDescent="0.25">
      <c r="B40" s="5">
        <v>16444502</v>
      </c>
      <c r="C40" t="s">
        <v>83</v>
      </c>
      <c r="D40" t="s">
        <v>84</v>
      </c>
      <c r="E40">
        <v>2023</v>
      </c>
      <c r="F40" t="s">
        <v>85</v>
      </c>
      <c r="G40" t="s">
        <v>124</v>
      </c>
      <c r="H40" s="6">
        <v>0.5</v>
      </c>
      <c r="I40" s="2">
        <v>5.7</v>
      </c>
      <c r="J40" s="1">
        <v>76.099999999999994</v>
      </c>
      <c r="K40" t="s">
        <v>108</v>
      </c>
      <c r="L40" t="s">
        <v>108</v>
      </c>
      <c r="M40">
        <v>240</v>
      </c>
      <c r="N40">
        <v>30</v>
      </c>
      <c r="O40">
        <v>20</v>
      </c>
      <c r="P40">
        <v>10</v>
      </c>
      <c r="Q40">
        <v>10</v>
      </c>
      <c r="R40">
        <v>10</v>
      </c>
      <c r="S40">
        <v>10</v>
      </c>
      <c r="T40">
        <v>30</v>
      </c>
      <c r="U40">
        <v>30</v>
      </c>
      <c r="V40">
        <v>30</v>
      </c>
      <c r="W40">
        <v>10</v>
      </c>
      <c r="X40">
        <v>20</v>
      </c>
      <c r="Y40">
        <v>10</v>
      </c>
      <c r="Z40">
        <v>10</v>
      </c>
      <c r="AA40">
        <v>10</v>
      </c>
      <c r="AC40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40">
        <v>1</v>
      </c>
      <c r="AE40">
        <v>4</v>
      </c>
    </row>
    <row r="41" spans="2:31" ht="31.9" customHeight="1" x14ac:dyDescent="0.25">
      <c r="B41" s="5">
        <v>16444402</v>
      </c>
      <c r="C41" t="s">
        <v>86</v>
      </c>
      <c r="D41" t="s">
        <v>87</v>
      </c>
      <c r="E41">
        <v>2023</v>
      </c>
      <c r="F41" t="s">
        <v>85</v>
      </c>
      <c r="G41" t="s">
        <v>124</v>
      </c>
      <c r="H41" s="6">
        <v>0.5</v>
      </c>
      <c r="I41" s="2">
        <v>5</v>
      </c>
      <c r="J41" s="1">
        <v>68.8</v>
      </c>
      <c r="K41" t="s">
        <v>108</v>
      </c>
      <c r="L41" t="s">
        <v>108</v>
      </c>
      <c r="M41">
        <v>120</v>
      </c>
      <c r="N41">
        <v>15</v>
      </c>
      <c r="O41">
        <v>10</v>
      </c>
      <c r="P41">
        <v>5</v>
      </c>
      <c r="Q41">
        <v>5</v>
      </c>
      <c r="R41">
        <v>5</v>
      </c>
      <c r="S41">
        <v>5</v>
      </c>
      <c r="T41">
        <v>15</v>
      </c>
      <c r="U41">
        <v>15</v>
      </c>
      <c r="V41">
        <v>15</v>
      </c>
      <c r="W41">
        <v>5</v>
      </c>
      <c r="X41">
        <v>10</v>
      </c>
      <c r="Y41">
        <v>5</v>
      </c>
      <c r="Z41">
        <v>5</v>
      </c>
      <c r="AA41">
        <v>5</v>
      </c>
      <c r="AC41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41">
        <v>1</v>
      </c>
      <c r="AE41">
        <v>4</v>
      </c>
    </row>
    <row r="42" spans="2:31" ht="31.9" customHeight="1" x14ac:dyDescent="0.25">
      <c r="B42" s="5">
        <v>13112602</v>
      </c>
      <c r="C42" t="s">
        <v>88</v>
      </c>
      <c r="D42" t="s">
        <v>89</v>
      </c>
      <c r="F42" t="s">
        <v>18</v>
      </c>
      <c r="G42" t="s">
        <v>128</v>
      </c>
      <c r="H42" s="6">
        <v>0.33</v>
      </c>
      <c r="I42" s="2">
        <v>10.5</v>
      </c>
      <c r="J42" s="1">
        <v>91.9</v>
      </c>
      <c r="K42" t="s">
        <v>98</v>
      </c>
      <c r="L42" t="s">
        <v>91</v>
      </c>
      <c r="M42">
        <v>288</v>
      </c>
      <c r="N42">
        <v>24</v>
      </c>
      <c r="O42">
        <v>24</v>
      </c>
      <c r="P42">
        <v>24</v>
      </c>
      <c r="Q42">
        <v>24</v>
      </c>
      <c r="T42">
        <v>24</v>
      </c>
      <c r="U42">
        <v>24</v>
      </c>
      <c r="V42">
        <v>24</v>
      </c>
      <c r="W42">
        <v>24</v>
      </c>
      <c r="X42">
        <v>24</v>
      </c>
      <c r="Y42">
        <v>24</v>
      </c>
      <c r="Z42">
        <v>24</v>
      </c>
      <c r="AA42">
        <v>24</v>
      </c>
      <c r="AC42">
        <f>Tabell2[[#This Row],[Totalt antall]]-Tabell2[[#This Row],[Fordeling Oslo City (143)]]-Tabell2[[#This Row],[Fordeling Storo (161)]]-Tabell2[[#This Row],[Fordeling Aker Brygge (114)]]-Tabell2[[#This Row],[Fordeling Asker (202)]]-Tabell2[[#This Row],[Fordeling Lillehammer (263)]]-Tabell2[[#This Row],[Fordeling Drammen (468)]]-Tabell2[[#This Row],[Fordeling Bergen Storsenter (121)]]-Tabell2[[#This Row],[Fordeling Sandnes Kvadrat (116)]]-Tabell2[[#This Row],[Fordeling Trondheim Torg (160)]]-Tabell2[[#This Row],[Fordeling Ålesund Moa (174)]]-Tabell2[[#This Row],[Fordeling Tromsø Langnes (282)]]-Tabell2[[#This Row],[Fordeling Molde (244)]]-Tabell2[[#This Row],[Fordeling Kristiansand Lillemarkens (254)]]-Tabell2[[#This Row],[Fordeling Bodø City Nord (339)]]-Tabell2[[#This Row],[Fordeling Nettbutikk (801)]]</f>
        <v>0</v>
      </c>
      <c r="AD42">
        <v>1</v>
      </c>
      <c r="AE42">
        <v>5</v>
      </c>
    </row>
    <row r="43" spans="2:31" ht="31.9" customHeight="1" x14ac:dyDescent="0.25">
      <c r="I43" s="2"/>
      <c r="J43" s="1"/>
    </row>
    <row r="44" spans="2:31" ht="31.9" customHeight="1" x14ac:dyDescent="0.25">
      <c r="I44" s="2"/>
      <c r="J44" s="1"/>
    </row>
    <row r="45" spans="2:31" ht="31.9" customHeight="1" x14ac:dyDescent="0.25">
      <c r="I45" s="2"/>
      <c r="J45" s="1"/>
    </row>
    <row r="46" spans="2:31" ht="31.9" customHeight="1" x14ac:dyDescent="0.25">
      <c r="I46" s="2"/>
      <c r="J46" s="1"/>
    </row>
  </sheetData>
  <phoneticPr fontId="1" type="noConversion"/>
  <pageMargins left="0.7" right="0.7" top="0.75" bottom="0.75" header="0.3" footer="0.3"/>
  <pageSetup paperSize="9" orientation="portrait" verticalDpi="0" r:id="rId1"/>
  <customProperties>
    <customPr name="_pios_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E9E0-BF31-40AE-B6C3-3A0CB046222C}">
  <dimension ref="A1:Y55"/>
  <sheetViews>
    <sheetView tabSelected="1" workbookViewId="0">
      <selection activeCell="K6" sqref="K6"/>
    </sheetView>
  </sheetViews>
  <sheetFormatPr baseColWidth="10" defaultColWidth="9.7109375" defaultRowHeight="15" x14ac:dyDescent="0.25"/>
  <cols>
    <col min="1" max="1" width="11.7109375" customWidth="1"/>
    <col min="2" max="2" width="38.140625" bestFit="1" customWidth="1"/>
    <col min="3" max="3" width="44.5703125" bestFit="1" customWidth="1"/>
    <col min="6" max="6" width="13.42578125" bestFit="1" customWidth="1"/>
    <col min="12" max="18" width="9.7109375" customWidth="1"/>
    <col min="20" max="25" width="9.7109375" customWidth="1"/>
  </cols>
  <sheetData>
    <row r="1" spans="1:25" ht="75" x14ac:dyDescent="0.25">
      <c r="A1" s="4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12</v>
      </c>
      <c r="K1" s="3" t="s">
        <v>109</v>
      </c>
      <c r="L1" s="3" t="s">
        <v>15</v>
      </c>
      <c r="M1" s="3" t="s">
        <v>13</v>
      </c>
      <c r="N1" s="3" t="s">
        <v>110</v>
      </c>
      <c r="O1" s="3" t="s">
        <v>111</v>
      </c>
      <c r="P1" s="3" t="s">
        <v>112</v>
      </c>
      <c r="Q1" s="3" t="s">
        <v>113</v>
      </c>
      <c r="R1" s="3" t="s">
        <v>14</v>
      </c>
      <c r="S1" s="3" t="s">
        <v>114</v>
      </c>
      <c r="T1" s="3" t="s">
        <v>115</v>
      </c>
      <c r="U1" s="3" t="s">
        <v>16</v>
      </c>
      <c r="V1" s="3" t="s">
        <v>116</v>
      </c>
      <c r="W1" s="3" t="s">
        <v>117</v>
      </c>
      <c r="X1" s="3" t="s">
        <v>118</v>
      </c>
      <c r="Y1" s="3" t="s">
        <v>119</v>
      </c>
    </row>
    <row r="2" spans="1:25" ht="24.95" customHeight="1" x14ac:dyDescent="0.25">
      <c r="A2" s="5">
        <v>2199701</v>
      </c>
      <c r="B2" t="s">
        <v>81</v>
      </c>
      <c r="C2" t="s">
        <v>82</v>
      </c>
      <c r="E2" t="s">
        <v>21</v>
      </c>
      <c r="F2" t="s">
        <v>130</v>
      </c>
      <c r="G2" s="6">
        <v>0.75</v>
      </c>
      <c r="H2" s="2">
        <v>8.5</v>
      </c>
      <c r="I2" s="1">
        <v>149.9</v>
      </c>
      <c r="J2">
        <v>175</v>
      </c>
      <c r="K2">
        <v>8</v>
      </c>
      <c r="L2">
        <v>12</v>
      </c>
      <c r="M2">
        <v>12</v>
      </c>
      <c r="N2">
        <v>12</v>
      </c>
      <c r="O2">
        <v>12</v>
      </c>
      <c r="P2">
        <v>12</v>
      </c>
      <c r="Q2">
        <v>12</v>
      </c>
      <c r="R2">
        <v>24</v>
      </c>
      <c r="S2">
        <v>11</v>
      </c>
      <c r="T2">
        <v>12</v>
      </c>
      <c r="U2">
        <v>12</v>
      </c>
      <c r="V2">
        <v>12</v>
      </c>
      <c r="W2">
        <v>12</v>
      </c>
      <c r="X2">
        <v>12</v>
      </c>
    </row>
    <row r="3" spans="1:25" ht="24.95" customHeight="1" x14ac:dyDescent="0.25">
      <c r="A3" s="5">
        <v>16437002</v>
      </c>
      <c r="B3" t="s">
        <v>35</v>
      </c>
      <c r="C3" t="s">
        <v>37</v>
      </c>
      <c r="E3" t="s">
        <v>21</v>
      </c>
      <c r="F3" t="s">
        <v>126</v>
      </c>
      <c r="G3" s="6">
        <v>0.33</v>
      </c>
      <c r="H3" s="2">
        <v>8.3000000000000007</v>
      </c>
      <c r="I3" s="1">
        <v>86.5</v>
      </c>
      <c r="J3">
        <v>232</v>
      </c>
      <c r="K3">
        <v>17</v>
      </c>
      <c r="L3">
        <v>24</v>
      </c>
      <c r="M3">
        <v>12</v>
      </c>
      <c r="N3">
        <v>12</v>
      </c>
      <c r="O3">
        <v>12</v>
      </c>
      <c r="P3">
        <v>12</v>
      </c>
      <c r="Q3">
        <v>24</v>
      </c>
      <c r="R3">
        <v>24</v>
      </c>
      <c r="S3">
        <v>23</v>
      </c>
      <c r="T3">
        <v>12</v>
      </c>
      <c r="U3">
        <v>24</v>
      </c>
      <c r="V3">
        <v>12</v>
      </c>
      <c r="W3">
        <v>12</v>
      </c>
      <c r="X3">
        <v>12</v>
      </c>
    </row>
    <row r="4" spans="1:25" ht="24.95" customHeight="1" x14ac:dyDescent="0.25">
      <c r="A4" s="5">
        <v>16436802</v>
      </c>
      <c r="B4" t="s">
        <v>35</v>
      </c>
      <c r="C4" t="s">
        <v>36</v>
      </c>
      <c r="E4" t="s">
        <v>21</v>
      </c>
      <c r="F4" t="s">
        <v>124</v>
      </c>
      <c r="G4" s="6">
        <v>0.33</v>
      </c>
      <c r="H4" s="2">
        <v>7</v>
      </c>
      <c r="I4" s="1">
        <v>83.4</v>
      </c>
      <c r="J4">
        <v>172</v>
      </c>
      <c r="K4">
        <v>5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24</v>
      </c>
      <c r="S4">
        <v>11</v>
      </c>
      <c r="T4">
        <v>12</v>
      </c>
      <c r="U4">
        <v>12</v>
      </c>
      <c r="V4">
        <v>12</v>
      </c>
      <c r="W4">
        <v>12</v>
      </c>
      <c r="X4">
        <v>12</v>
      </c>
    </row>
    <row r="5" spans="1:25" ht="24.95" customHeight="1" x14ac:dyDescent="0.25">
      <c r="A5" s="5">
        <v>16436702</v>
      </c>
      <c r="B5" t="s">
        <v>35</v>
      </c>
      <c r="C5" t="s">
        <v>38</v>
      </c>
      <c r="E5" t="s">
        <v>21</v>
      </c>
      <c r="F5" t="s">
        <v>124</v>
      </c>
      <c r="G5" s="6">
        <v>0.33</v>
      </c>
      <c r="H5" s="2">
        <v>8</v>
      </c>
      <c r="I5" s="1">
        <v>84.2</v>
      </c>
      <c r="J5">
        <v>112</v>
      </c>
      <c r="K5">
        <v>5</v>
      </c>
      <c r="L5">
        <v>12</v>
      </c>
      <c r="M5">
        <v>6</v>
      </c>
      <c r="N5">
        <v>6</v>
      </c>
      <c r="O5">
        <v>6</v>
      </c>
      <c r="P5">
        <v>6</v>
      </c>
      <c r="Q5">
        <v>12</v>
      </c>
      <c r="R5">
        <v>12</v>
      </c>
      <c r="S5">
        <v>11</v>
      </c>
      <c r="T5">
        <v>6</v>
      </c>
      <c r="U5">
        <v>12</v>
      </c>
      <c r="V5">
        <v>6</v>
      </c>
      <c r="W5">
        <v>6</v>
      </c>
      <c r="X5">
        <v>6</v>
      </c>
    </row>
    <row r="6" spans="1:25" ht="24.95" customHeight="1" x14ac:dyDescent="0.25">
      <c r="A6" s="5">
        <v>16450401</v>
      </c>
      <c r="B6" t="s">
        <v>19</v>
      </c>
      <c r="C6" t="s">
        <v>20</v>
      </c>
      <c r="E6" t="s">
        <v>21</v>
      </c>
      <c r="F6" t="s">
        <v>123</v>
      </c>
      <c r="G6" s="6">
        <v>0.75</v>
      </c>
      <c r="H6" s="2">
        <v>5.5</v>
      </c>
      <c r="I6" s="1">
        <v>219.9</v>
      </c>
      <c r="J6">
        <v>255</v>
      </c>
      <c r="K6">
        <v>20</v>
      </c>
      <c r="L6">
        <v>13</v>
      </c>
      <c r="M6">
        <v>12</v>
      </c>
      <c r="N6">
        <v>12</v>
      </c>
      <c r="O6">
        <v>12</v>
      </c>
      <c r="P6">
        <v>12</v>
      </c>
      <c r="Q6">
        <v>36</v>
      </c>
      <c r="R6">
        <v>36</v>
      </c>
      <c r="S6">
        <v>23</v>
      </c>
      <c r="T6">
        <v>12</v>
      </c>
      <c r="U6">
        <v>12</v>
      </c>
      <c r="V6">
        <v>12</v>
      </c>
      <c r="W6">
        <v>12</v>
      </c>
      <c r="X6">
        <v>12</v>
      </c>
      <c r="Y6">
        <v>14</v>
      </c>
    </row>
    <row r="7" spans="1:25" ht="24.95" customHeight="1" x14ac:dyDescent="0.25">
      <c r="A7" s="5">
        <v>16450201</v>
      </c>
      <c r="B7" t="s">
        <v>19</v>
      </c>
      <c r="C7" t="s">
        <v>22</v>
      </c>
      <c r="E7" t="s">
        <v>21</v>
      </c>
      <c r="F7" t="s">
        <v>123</v>
      </c>
      <c r="G7" s="6">
        <v>0.75</v>
      </c>
      <c r="H7" s="2">
        <v>6</v>
      </c>
      <c r="I7" s="1">
        <v>260</v>
      </c>
      <c r="J7">
        <v>34</v>
      </c>
      <c r="K7">
        <v>4</v>
      </c>
      <c r="L7">
        <v>2</v>
      </c>
      <c r="M7">
        <v>2</v>
      </c>
      <c r="N7">
        <v>1</v>
      </c>
      <c r="O7">
        <v>1</v>
      </c>
      <c r="P7">
        <v>1</v>
      </c>
      <c r="Q7">
        <v>6</v>
      </c>
      <c r="R7">
        <v>6</v>
      </c>
      <c r="S7">
        <v>4</v>
      </c>
      <c r="T7">
        <v>1</v>
      </c>
      <c r="U7">
        <v>1</v>
      </c>
      <c r="V7">
        <v>1</v>
      </c>
      <c r="W7">
        <v>1</v>
      </c>
      <c r="X7">
        <v>1</v>
      </c>
      <c r="Y7">
        <v>2</v>
      </c>
    </row>
    <row r="8" spans="1:25" ht="24.95" customHeight="1" x14ac:dyDescent="0.25">
      <c r="A8" s="5">
        <v>16450501</v>
      </c>
      <c r="B8" t="s">
        <v>23</v>
      </c>
      <c r="C8" t="s">
        <v>24</v>
      </c>
      <c r="E8" t="s">
        <v>21</v>
      </c>
      <c r="F8" t="s">
        <v>123</v>
      </c>
      <c r="G8" s="6">
        <v>0.75</v>
      </c>
      <c r="H8" s="2">
        <v>5</v>
      </c>
      <c r="I8" s="1">
        <v>259.89999999999998</v>
      </c>
      <c r="J8">
        <v>22</v>
      </c>
      <c r="K8">
        <v>4</v>
      </c>
      <c r="L8">
        <v>1</v>
      </c>
      <c r="M8">
        <v>1</v>
      </c>
      <c r="Q8">
        <v>4</v>
      </c>
      <c r="R8">
        <v>5</v>
      </c>
      <c r="S8">
        <v>3</v>
      </c>
      <c r="U8">
        <v>2</v>
      </c>
      <c r="Y8">
        <v>2</v>
      </c>
    </row>
    <row r="9" spans="1:25" ht="24.95" customHeight="1" x14ac:dyDescent="0.25">
      <c r="A9" s="5">
        <v>16450601</v>
      </c>
      <c r="B9" t="s">
        <v>23</v>
      </c>
      <c r="C9" t="s">
        <v>25</v>
      </c>
      <c r="E9" t="s">
        <v>21</v>
      </c>
      <c r="F9" t="s">
        <v>123</v>
      </c>
      <c r="G9" s="6">
        <v>0.75</v>
      </c>
      <c r="H9" s="2">
        <v>5</v>
      </c>
      <c r="I9" s="1">
        <v>259.89999999999998</v>
      </c>
      <c r="J9">
        <v>44</v>
      </c>
      <c r="K9">
        <v>5</v>
      </c>
      <c r="L9">
        <v>3</v>
      </c>
      <c r="M9">
        <v>3</v>
      </c>
      <c r="N9">
        <v>1</v>
      </c>
      <c r="O9">
        <v>1</v>
      </c>
      <c r="P9">
        <v>1</v>
      </c>
      <c r="Q9">
        <v>6</v>
      </c>
      <c r="R9">
        <v>6</v>
      </c>
      <c r="S9">
        <v>5</v>
      </c>
      <c r="T9">
        <v>1</v>
      </c>
      <c r="U9">
        <v>3</v>
      </c>
      <c r="V9">
        <v>1</v>
      </c>
      <c r="W9">
        <v>1</v>
      </c>
      <c r="X9">
        <v>1</v>
      </c>
      <c r="Y9">
        <v>6</v>
      </c>
    </row>
    <row r="10" spans="1:25" ht="24.95" customHeight="1" x14ac:dyDescent="0.25">
      <c r="A10" s="5">
        <v>16450301</v>
      </c>
      <c r="B10" t="s">
        <v>23</v>
      </c>
      <c r="C10" t="s">
        <v>26</v>
      </c>
      <c r="E10" t="s">
        <v>21</v>
      </c>
      <c r="F10" t="s">
        <v>123</v>
      </c>
      <c r="G10" s="6">
        <v>0.75</v>
      </c>
      <c r="H10" s="2">
        <v>6</v>
      </c>
      <c r="I10" s="1">
        <v>279.89999999999998</v>
      </c>
      <c r="J10">
        <v>18</v>
      </c>
      <c r="K10">
        <v>3</v>
      </c>
      <c r="L10">
        <v>1</v>
      </c>
      <c r="M10">
        <v>1</v>
      </c>
      <c r="Q10">
        <v>4</v>
      </c>
      <c r="R10">
        <v>4</v>
      </c>
      <c r="S10">
        <v>2</v>
      </c>
      <c r="U10">
        <v>2</v>
      </c>
      <c r="Y10">
        <v>1</v>
      </c>
    </row>
    <row r="11" spans="1:25" ht="24.95" customHeight="1" x14ac:dyDescent="0.25">
      <c r="A11" s="5">
        <v>16450701</v>
      </c>
      <c r="B11" t="s">
        <v>23</v>
      </c>
      <c r="C11" t="s">
        <v>27</v>
      </c>
      <c r="E11" t="s">
        <v>21</v>
      </c>
      <c r="F11" t="s">
        <v>123</v>
      </c>
      <c r="G11" s="6">
        <v>0.75</v>
      </c>
      <c r="H11" s="2">
        <v>7.5</v>
      </c>
      <c r="I11" s="1">
        <v>299.89999999999998</v>
      </c>
      <c r="J11">
        <v>18</v>
      </c>
      <c r="K11">
        <v>3</v>
      </c>
      <c r="L11">
        <v>1</v>
      </c>
      <c r="M11">
        <v>1</v>
      </c>
      <c r="Q11">
        <v>4</v>
      </c>
      <c r="R11">
        <v>4</v>
      </c>
      <c r="S11">
        <v>2</v>
      </c>
      <c r="U11">
        <v>2</v>
      </c>
      <c r="Y11">
        <v>1</v>
      </c>
    </row>
    <row r="12" spans="1:25" ht="24.95" customHeight="1" x14ac:dyDescent="0.25">
      <c r="A12" s="5">
        <v>16436301</v>
      </c>
      <c r="B12" t="s">
        <v>77</v>
      </c>
      <c r="C12" t="s">
        <v>78</v>
      </c>
      <c r="E12" t="s">
        <v>21</v>
      </c>
      <c r="F12" t="s">
        <v>123</v>
      </c>
      <c r="G12" s="6">
        <v>0.75</v>
      </c>
      <c r="H12" s="2">
        <v>5.0999999999999996</v>
      </c>
      <c r="I12" s="1">
        <v>309</v>
      </c>
      <c r="J12">
        <v>115</v>
      </c>
      <c r="K12">
        <v>8</v>
      </c>
      <c r="L12">
        <v>9</v>
      </c>
      <c r="M12">
        <v>6</v>
      </c>
      <c r="N12">
        <v>6</v>
      </c>
      <c r="O12">
        <v>3</v>
      </c>
      <c r="Q12">
        <v>15</v>
      </c>
      <c r="R12">
        <v>18</v>
      </c>
      <c r="S12">
        <v>14</v>
      </c>
      <c r="T12">
        <v>6</v>
      </c>
      <c r="U12">
        <v>12</v>
      </c>
      <c r="V12">
        <v>6</v>
      </c>
      <c r="W12">
        <v>6</v>
      </c>
      <c r="X12">
        <v>6</v>
      </c>
    </row>
    <row r="13" spans="1:25" ht="24.95" customHeight="1" x14ac:dyDescent="0.25">
      <c r="A13" s="5">
        <v>16436201</v>
      </c>
      <c r="B13" t="s">
        <v>77</v>
      </c>
      <c r="C13" t="s">
        <v>79</v>
      </c>
      <c r="D13">
        <v>2021</v>
      </c>
      <c r="E13" t="s">
        <v>21</v>
      </c>
      <c r="F13" t="s">
        <v>123</v>
      </c>
      <c r="G13" s="6">
        <v>0.75</v>
      </c>
      <c r="H13" s="2">
        <v>8.1</v>
      </c>
      <c r="I13" s="1">
        <v>350</v>
      </c>
      <c r="J13">
        <v>55</v>
      </c>
      <c r="K13">
        <v>2</v>
      </c>
      <c r="L13">
        <v>6</v>
      </c>
      <c r="M13">
        <v>2</v>
      </c>
      <c r="N13">
        <v>2</v>
      </c>
      <c r="Q13">
        <v>8</v>
      </c>
      <c r="R13">
        <v>12</v>
      </c>
      <c r="S13">
        <v>5</v>
      </c>
      <c r="T13">
        <v>2</v>
      </c>
      <c r="U13">
        <v>6</v>
      </c>
      <c r="V13">
        <v>2</v>
      </c>
      <c r="W13">
        <v>6</v>
      </c>
      <c r="X13">
        <v>2</v>
      </c>
    </row>
    <row r="14" spans="1:25" ht="24.95" customHeight="1" x14ac:dyDescent="0.25">
      <c r="A14" s="5">
        <v>16436401</v>
      </c>
      <c r="B14" t="s">
        <v>77</v>
      </c>
      <c r="C14" t="s">
        <v>80</v>
      </c>
      <c r="D14">
        <v>2021</v>
      </c>
      <c r="E14" t="s">
        <v>21</v>
      </c>
      <c r="F14" t="s">
        <v>123</v>
      </c>
      <c r="G14" s="6">
        <v>0.75</v>
      </c>
      <c r="H14" s="2">
        <v>7.9</v>
      </c>
      <c r="I14" s="1">
        <v>350</v>
      </c>
      <c r="J14">
        <v>57</v>
      </c>
      <c r="K14">
        <v>4</v>
      </c>
      <c r="L14">
        <v>6</v>
      </c>
      <c r="M14">
        <v>2</v>
      </c>
      <c r="N14">
        <v>2</v>
      </c>
      <c r="Q14">
        <v>8</v>
      </c>
      <c r="R14">
        <v>12</v>
      </c>
      <c r="S14">
        <v>5</v>
      </c>
      <c r="T14">
        <v>2</v>
      </c>
      <c r="U14">
        <v>6</v>
      </c>
      <c r="V14">
        <v>2</v>
      </c>
      <c r="W14">
        <v>6</v>
      </c>
      <c r="X14">
        <v>2</v>
      </c>
    </row>
    <row r="15" spans="1:25" ht="24.95" customHeight="1" x14ac:dyDescent="0.25">
      <c r="A15" s="5">
        <v>16450002</v>
      </c>
      <c r="B15" t="s">
        <v>42</v>
      </c>
      <c r="C15" t="s">
        <v>43</v>
      </c>
      <c r="E15" t="s">
        <v>30</v>
      </c>
      <c r="F15" t="s">
        <v>127</v>
      </c>
      <c r="G15" s="6">
        <v>0.44</v>
      </c>
      <c r="H15" s="2">
        <v>5.3</v>
      </c>
      <c r="I15" s="1">
        <v>97.5</v>
      </c>
      <c r="J15">
        <v>245</v>
      </c>
      <c r="K15">
        <v>18</v>
      </c>
      <c r="L15">
        <v>24</v>
      </c>
      <c r="M15">
        <v>24</v>
      </c>
      <c r="N15">
        <v>12</v>
      </c>
      <c r="O15">
        <v>12</v>
      </c>
      <c r="P15">
        <v>12</v>
      </c>
      <c r="Q15">
        <v>24</v>
      </c>
      <c r="R15">
        <v>24</v>
      </c>
      <c r="S15">
        <v>23</v>
      </c>
      <c r="T15">
        <v>12</v>
      </c>
      <c r="U15">
        <v>24</v>
      </c>
      <c r="V15">
        <v>12</v>
      </c>
      <c r="W15">
        <v>12</v>
      </c>
      <c r="X15">
        <v>12</v>
      </c>
    </row>
    <row r="16" spans="1:25" ht="24.95" customHeight="1" x14ac:dyDescent="0.25">
      <c r="A16" s="5">
        <v>16450102</v>
      </c>
      <c r="B16" t="s">
        <v>44</v>
      </c>
      <c r="C16" t="s">
        <v>45</v>
      </c>
      <c r="E16" t="s">
        <v>30</v>
      </c>
      <c r="F16" t="s">
        <v>128</v>
      </c>
      <c r="G16" s="6">
        <v>0.33</v>
      </c>
      <c r="H16" s="2">
        <v>12</v>
      </c>
      <c r="I16" s="1">
        <v>144.19999999999999</v>
      </c>
      <c r="J16">
        <v>112</v>
      </c>
      <c r="K16">
        <v>5</v>
      </c>
      <c r="L16">
        <v>12</v>
      </c>
      <c r="M16">
        <v>6</v>
      </c>
      <c r="N16">
        <v>6</v>
      </c>
      <c r="O16">
        <v>6</v>
      </c>
      <c r="P16">
        <v>6</v>
      </c>
      <c r="Q16">
        <v>12</v>
      </c>
      <c r="R16">
        <v>12</v>
      </c>
      <c r="S16">
        <v>11</v>
      </c>
      <c r="T16">
        <v>6</v>
      </c>
      <c r="U16">
        <v>12</v>
      </c>
      <c r="V16">
        <v>6</v>
      </c>
      <c r="W16">
        <v>6</v>
      </c>
      <c r="X16">
        <v>6</v>
      </c>
    </row>
    <row r="17" spans="1:25" ht="24.95" customHeight="1" x14ac:dyDescent="0.25">
      <c r="A17" s="5">
        <v>16436902</v>
      </c>
      <c r="B17" t="s">
        <v>28</v>
      </c>
      <c r="C17" t="s">
        <v>29</v>
      </c>
      <c r="E17" t="s">
        <v>30</v>
      </c>
      <c r="F17" t="s">
        <v>124</v>
      </c>
      <c r="G17" s="6">
        <v>0.5</v>
      </c>
      <c r="H17" s="2">
        <v>5.6</v>
      </c>
      <c r="I17" s="1">
        <v>77.400000000000006</v>
      </c>
      <c r="J17">
        <v>345</v>
      </c>
      <c r="K17">
        <v>18</v>
      </c>
      <c r="L17">
        <v>24</v>
      </c>
      <c r="M17">
        <v>24</v>
      </c>
      <c r="N17">
        <v>24</v>
      </c>
      <c r="O17">
        <v>24</v>
      </c>
      <c r="P17">
        <v>24</v>
      </c>
      <c r="Q17">
        <v>24</v>
      </c>
      <c r="R17">
        <v>32</v>
      </c>
      <c r="S17">
        <v>23</v>
      </c>
      <c r="T17">
        <v>24</v>
      </c>
      <c r="U17">
        <v>24</v>
      </c>
      <c r="V17">
        <v>24</v>
      </c>
      <c r="W17">
        <v>24</v>
      </c>
      <c r="X17">
        <v>24</v>
      </c>
      <c r="Y17">
        <v>8</v>
      </c>
    </row>
    <row r="18" spans="1:25" ht="24.95" customHeight="1" x14ac:dyDescent="0.25">
      <c r="A18" s="5">
        <v>16442401</v>
      </c>
      <c r="B18" t="s">
        <v>39</v>
      </c>
      <c r="C18" t="s">
        <v>40</v>
      </c>
      <c r="E18" t="s">
        <v>41</v>
      </c>
      <c r="F18" t="s">
        <v>126</v>
      </c>
      <c r="G18" s="6">
        <v>0.75</v>
      </c>
      <c r="H18" s="2">
        <v>11.5</v>
      </c>
      <c r="I18" s="1">
        <v>399</v>
      </c>
      <c r="J18">
        <v>79</v>
      </c>
      <c r="K18">
        <v>8</v>
      </c>
      <c r="L18">
        <v>6</v>
      </c>
      <c r="M18">
        <v>6</v>
      </c>
      <c r="N18">
        <v>4</v>
      </c>
      <c r="O18">
        <v>4</v>
      </c>
      <c r="P18">
        <v>4</v>
      </c>
      <c r="Q18">
        <v>6</v>
      </c>
      <c r="R18">
        <v>12</v>
      </c>
      <c r="S18">
        <v>7</v>
      </c>
      <c r="T18">
        <v>4</v>
      </c>
      <c r="U18">
        <v>6</v>
      </c>
      <c r="V18">
        <v>4</v>
      </c>
      <c r="W18">
        <v>4</v>
      </c>
      <c r="X18">
        <v>4</v>
      </c>
    </row>
    <row r="19" spans="1:25" ht="24.95" customHeight="1" x14ac:dyDescent="0.25">
      <c r="A19" s="5">
        <v>16458302</v>
      </c>
      <c r="B19" t="s">
        <v>46</v>
      </c>
      <c r="C19" t="s">
        <v>47</v>
      </c>
      <c r="D19">
        <v>2022</v>
      </c>
      <c r="E19" t="s">
        <v>18</v>
      </c>
      <c r="F19" t="s">
        <v>48</v>
      </c>
      <c r="G19" s="6">
        <v>0.375</v>
      </c>
      <c r="H19" s="2">
        <v>11.5</v>
      </c>
      <c r="I19" s="1">
        <v>349.9</v>
      </c>
      <c r="J19">
        <v>40</v>
      </c>
      <c r="K19">
        <v>7</v>
      </c>
      <c r="L19">
        <v>3</v>
      </c>
      <c r="M19">
        <v>3</v>
      </c>
      <c r="N19">
        <v>1</v>
      </c>
      <c r="O19">
        <v>1</v>
      </c>
      <c r="P19">
        <v>1</v>
      </c>
      <c r="Q19">
        <v>6</v>
      </c>
      <c r="R19">
        <v>6</v>
      </c>
      <c r="S19">
        <v>5</v>
      </c>
      <c r="T19">
        <v>1</v>
      </c>
      <c r="U19">
        <v>3</v>
      </c>
      <c r="V19">
        <v>1</v>
      </c>
      <c r="W19">
        <v>1</v>
      </c>
      <c r="X19">
        <v>1</v>
      </c>
    </row>
    <row r="20" spans="1:25" ht="24.95" customHeight="1" x14ac:dyDescent="0.25">
      <c r="A20" s="5">
        <v>16458202</v>
      </c>
      <c r="B20" t="s">
        <v>46</v>
      </c>
      <c r="C20" t="s">
        <v>49</v>
      </c>
      <c r="D20">
        <v>2022</v>
      </c>
      <c r="E20" t="s">
        <v>18</v>
      </c>
      <c r="F20" t="s">
        <v>48</v>
      </c>
      <c r="G20" s="6">
        <v>0.375</v>
      </c>
      <c r="H20" s="2">
        <v>11.5</v>
      </c>
      <c r="I20" s="1">
        <v>349.9</v>
      </c>
      <c r="J20">
        <v>40</v>
      </c>
      <c r="K20">
        <v>7</v>
      </c>
      <c r="L20">
        <v>3</v>
      </c>
      <c r="M20">
        <v>3</v>
      </c>
      <c r="N20">
        <v>1</v>
      </c>
      <c r="O20">
        <v>1</v>
      </c>
      <c r="P20">
        <v>1</v>
      </c>
      <c r="Q20">
        <v>6</v>
      </c>
      <c r="R20">
        <v>6</v>
      </c>
      <c r="S20">
        <v>5</v>
      </c>
      <c r="T20">
        <v>1</v>
      </c>
      <c r="U20">
        <v>3</v>
      </c>
      <c r="V20">
        <v>1</v>
      </c>
      <c r="W20">
        <v>1</v>
      </c>
      <c r="X20">
        <v>1</v>
      </c>
    </row>
    <row r="21" spans="1:25" ht="24.95" customHeight="1" x14ac:dyDescent="0.25">
      <c r="A21" s="5">
        <v>16458602</v>
      </c>
      <c r="B21" t="s">
        <v>46</v>
      </c>
      <c r="C21" t="s">
        <v>50</v>
      </c>
      <c r="D21">
        <v>2022</v>
      </c>
      <c r="E21" t="s">
        <v>18</v>
      </c>
      <c r="F21" t="s">
        <v>48</v>
      </c>
      <c r="G21" s="6">
        <v>0.375</v>
      </c>
      <c r="H21" s="2">
        <v>11.5</v>
      </c>
      <c r="I21" s="1">
        <v>349.9</v>
      </c>
      <c r="J21">
        <v>40</v>
      </c>
      <c r="K21">
        <v>7</v>
      </c>
      <c r="L21">
        <v>3</v>
      </c>
      <c r="M21">
        <v>3</v>
      </c>
      <c r="N21">
        <v>1</v>
      </c>
      <c r="O21">
        <v>1</v>
      </c>
      <c r="P21">
        <v>1</v>
      </c>
      <c r="Q21">
        <v>6</v>
      </c>
      <c r="R21">
        <v>6</v>
      </c>
      <c r="S21">
        <v>5</v>
      </c>
      <c r="T21">
        <v>1</v>
      </c>
      <c r="U21">
        <v>3</v>
      </c>
      <c r="V21">
        <v>1</v>
      </c>
      <c r="W21">
        <v>1</v>
      </c>
      <c r="X21">
        <v>1</v>
      </c>
    </row>
    <row r="22" spans="1:25" ht="24.95" customHeight="1" x14ac:dyDescent="0.25">
      <c r="A22" s="5">
        <v>16458102</v>
      </c>
      <c r="B22" t="s">
        <v>46</v>
      </c>
      <c r="C22" t="s">
        <v>51</v>
      </c>
      <c r="D22">
        <v>2022</v>
      </c>
      <c r="E22" t="s">
        <v>18</v>
      </c>
      <c r="F22" t="s">
        <v>48</v>
      </c>
      <c r="G22" s="6">
        <v>0.375</v>
      </c>
      <c r="H22" s="2">
        <v>11.5</v>
      </c>
      <c r="I22" s="1">
        <v>349.9</v>
      </c>
      <c r="J22">
        <v>53</v>
      </c>
      <c r="K22">
        <v>4</v>
      </c>
      <c r="L22">
        <v>6</v>
      </c>
      <c r="M22">
        <v>3</v>
      </c>
      <c r="N22">
        <v>2</v>
      </c>
      <c r="O22">
        <v>2</v>
      </c>
      <c r="P22">
        <v>2</v>
      </c>
      <c r="Q22">
        <v>6</v>
      </c>
      <c r="R22">
        <v>12</v>
      </c>
      <c r="S22">
        <v>5</v>
      </c>
      <c r="T22">
        <v>2</v>
      </c>
      <c r="U22">
        <v>3</v>
      </c>
      <c r="V22">
        <v>2</v>
      </c>
      <c r="W22">
        <v>2</v>
      </c>
      <c r="X22">
        <v>2</v>
      </c>
    </row>
    <row r="23" spans="1:25" ht="24.95" customHeight="1" x14ac:dyDescent="0.25">
      <c r="A23" s="5">
        <v>16458502</v>
      </c>
      <c r="B23" t="s">
        <v>46</v>
      </c>
      <c r="C23" t="s">
        <v>52</v>
      </c>
      <c r="D23">
        <v>2022</v>
      </c>
      <c r="E23" t="s">
        <v>18</v>
      </c>
      <c r="F23" t="s">
        <v>48</v>
      </c>
      <c r="G23" s="6">
        <v>0.375</v>
      </c>
      <c r="H23" s="2">
        <v>11.5</v>
      </c>
      <c r="I23" s="1">
        <v>349.9</v>
      </c>
      <c r="J23">
        <v>55</v>
      </c>
      <c r="K23">
        <v>6</v>
      </c>
      <c r="L23">
        <v>6</v>
      </c>
      <c r="M23">
        <v>3</v>
      </c>
      <c r="N23">
        <v>2</v>
      </c>
      <c r="O23">
        <v>2</v>
      </c>
      <c r="P23">
        <v>2</v>
      </c>
      <c r="Q23">
        <v>6</v>
      </c>
      <c r="R23">
        <v>12</v>
      </c>
      <c r="S23">
        <v>5</v>
      </c>
      <c r="T23">
        <v>2</v>
      </c>
      <c r="U23">
        <v>3</v>
      </c>
      <c r="V23">
        <v>2</v>
      </c>
      <c r="W23">
        <v>2</v>
      </c>
      <c r="X23">
        <v>2</v>
      </c>
    </row>
    <row r="24" spans="1:25" ht="24.95" customHeight="1" x14ac:dyDescent="0.25">
      <c r="A24" s="5">
        <v>16458402</v>
      </c>
      <c r="B24" t="s">
        <v>46</v>
      </c>
      <c r="C24" t="s">
        <v>53</v>
      </c>
      <c r="D24">
        <v>2022</v>
      </c>
      <c r="E24" t="s">
        <v>18</v>
      </c>
      <c r="F24" t="s">
        <v>48</v>
      </c>
      <c r="G24" s="6">
        <v>0.375</v>
      </c>
      <c r="H24" s="2">
        <v>14.5</v>
      </c>
      <c r="I24" s="1">
        <v>399.9</v>
      </c>
      <c r="J24">
        <v>129</v>
      </c>
      <c r="K24">
        <v>14</v>
      </c>
      <c r="L24">
        <v>12</v>
      </c>
      <c r="M24">
        <v>6</v>
      </c>
      <c r="N24">
        <v>6</v>
      </c>
      <c r="O24">
        <v>6</v>
      </c>
      <c r="P24">
        <v>6</v>
      </c>
      <c r="Q24">
        <v>18</v>
      </c>
      <c r="R24">
        <v>24</v>
      </c>
      <c r="S24">
        <v>1</v>
      </c>
      <c r="T24">
        <v>6</v>
      </c>
      <c r="U24">
        <v>6</v>
      </c>
      <c r="V24">
        <v>6</v>
      </c>
      <c r="W24">
        <v>6</v>
      </c>
      <c r="X24">
        <v>6</v>
      </c>
      <c r="Y24">
        <v>6</v>
      </c>
    </row>
    <row r="25" spans="1:25" ht="24.95" customHeight="1" x14ac:dyDescent="0.25">
      <c r="A25" s="5">
        <v>16462304</v>
      </c>
      <c r="B25" t="s">
        <v>74</v>
      </c>
      <c r="C25" t="s">
        <v>75</v>
      </c>
      <c r="E25" t="s">
        <v>18</v>
      </c>
      <c r="F25" t="s">
        <v>48</v>
      </c>
      <c r="G25" s="6">
        <v>0.25</v>
      </c>
      <c r="H25" s="2">
        <v>12</v>
      </c>
      <c r="I25" s="1">
        <v>208.1</v>
      </c>
      <c r="J25">
        <v>161</v>
      </c>
      <c r="K25">
        <v>12</v>
      </c>
      <c r="L25">
        <v>12</v>
      </c>
      <c r="M25">
        <v>6</v>
      </c>
      <c r="N25">
        <v>6</v>
      </c>
      <c r="O25">
        <v>6</v>
      </c>
      <c r="P25">
        <v>6</v>
      </c>
      <c r="Q25">
        <v>42</v>
      </c>
      <c r="R25">
        <v>18</v>
      </c>
      <c r="S25">
        <v>17</v>
      </c>
      <c r="T25">
        <v>6</v>
      </c>
      <c r="U25">
        <v>6</v>
      </c>
      <c r="V25">
        <v>6</v>
      </c>
      <c r="W25">
        <v>6</v>
      </c>
      <c r="X25">
        <v>6</v>
      </c>
      <c r="Y25">
        <v>6</v>
      </c>
    </row>
    <row r="26" spans="1:25" ht="24.95" customHeight="1" x14ac:dyDescent="0.25">
      <c r="A26" s="5">
        <v>16462204</v>
      </c>
      <c r="B26" t="s">
        <v>74</v>
      </c>
      <c r="C26" t="s">
        <v>76</v>
      </c>
      <c r="E26" t="s">
        <v>18</v>
      </c>
      <c r="F26" t="s">
        <v>48</v>
      </c>
      <c r="G26" s="6">
        <v>0.25</v>
      </c>
      <c r="H26" s="2">
        <v>14</v>
      </c>
      <c r="I26" s="1">
        <v>214.3</v>
      </c>
      <c r="J26">
        <v>426</v>
      </c>
      <c r="K26">
        <v>31</v>
      </c>
      <c r="L26">
        <v>24</v>
      </c>
      <c r="M26">
        <v>24</v>
      </c>
      <c r="N26">
        <v>24</v>
      </c>
      <c r="O26">
        <v>24</v>
      </c>
      <c r="P26">
        <v>12</v>
      </c>
      <c r="Q26">
        <v>72</v>
      </c>
      <c r="R26">
        <v>48</v>
      </c>
      <c r="S26">
        <v>29</v>
      </c>
      <c r="T26">
        <v>24</v>
      </c>
      <c r="U26">
        <v>30</v>
      </c>
      <c r="V26">
        <v>24</v>
      </c>
      <c r="W26">
        <v>24</v>
      </c>
      <c r="X26">
        <v>24</v>
      </c>
      <c r="Y26">
        <v>12</v>
      </c>
    </row>
    <row r="27" spans="1:25" ht="24.95" customHeight="1" x14ac:dyDescent="0.25">
      <c r="A27" s="5">
        <v>13112602</v>
      </c>
      <c r="B27" t="s">
        <v>88</v>
      </c>
      <c r="C27" t="s">
        <v>89</v>
      </c>
      <c r="E27" t="s">
        <v>18</v>
      </c>
      <c r="F27" t="s">
        <v>128</v>
      </c>
      <c r="G27" s="6">
        <v>0.33</v>
      </c>
      <c r="H27" s="2">
        <v>10.5</v>
      </c>
      <c r="I27" s="1">
        <v>91.9</v>
      </c>
      <c r="J27">
        <v>281</v>
      </c>
      <c r="K27">
        <v>18</v>
      </c>
      <c r="L27">
        <v>24</v>
      </c>
      <c r="M27">
        <v>24</v>
      </c>
      <c r="N27">
        <v>24</v>
      </c>
      <c r="Q27">
        <v>24</v>
      </c>
      <c r="R27">
        <v>24</v>
      </c>
      <c r="S27">
        <v>23</v>
      </c>
      <c r="T27">
        <v>24</v>
      </c>
      <c r="U27">
        <v>24</v>
      </c>
      <c r="V27">
        <v>24</v>
      </c>
      <c r="W27">
        <v>24</v>
      </c>
      <c r="X27">
        <v>24</v>
      </c>
    </row>
    <row r="28" spans="1:25" ht="24.95" customHeight="1" x14ac:dyDescent="0.25">
      <c r="A28" s="5">
        <v>16444402</v>
      </c>
      <c r="B28" t="s">
        <v>86</v>
      </c>
      <c r="C28" t="s">
        <v>87</v>
      </c>
      <c r="D28">
        <v>2023</v>
      </c>
      <c r="E28" t="s">
        <v>85</v>
      </c>
      <c r="F28" t="s">
        <v>124</v>
      </c>
      <c r="G28" s="6">
        <v>0.5</v>
      </c>
      <c r="H28" s="2">
        <v>5</v>
      </c>
      <c r="I28" s="1">
        <v>68.8</v>
      </c>
      <c r="J28">
        <v>114</v>
      </c>
      <c r="K28">
        <v>10</v>
      </c>
      <c r="L28">
        <v>10</v>
      </c>
      <c r="M28">
        <v>5</v>
      </c>
      <c r="N28">
        <v>5</v>
      </c>
      <c r="O28">
        <v>5</v>
      </c>
      <c r="P28">
        <v>5</v>
      </c>
      <c r="Q28">
        <v>15</v>
      </c>
      <c r="R28">
        <v>15</v>
      </c>
      <c r="S28">
        <v>14</v>
      </c>
      <c r="T28">
        <v>5</v>
      </c>
      <c r="U28">
        <v>10</v>
      </c>
      <c r="V28">
        <v>5</v>
      </c>
      <c r="W28">
        <v>5</v>
      </c>
      <c r="X28">
        <v>5</v>
      </c>
    </row>
    <row r="29" spans="1:25" ht="24.95" customHeight="1" x14ac:dyDescent="0.25">
      <c r="A29" s="5">
        <v>16444502</v>
      </c>
      <c r="B29" t="s">
        <v>83</v>
      </c>
      <c r="C29" t="s">
        <v>84</v>
      </c>
      <c r="D29">
        <v>2023</v>
      </c>
      <c r="E29" t="s">
        <v>85</v>
      </c>
      <c r="F29" t="s">
        <v>124</v>
      </c>
      <c r="G29" s="6">
        <v>0.5</v>
      </c>
      <c r="H29" s="2">
        <v>5.7</v>
      </c>
      <c r="I29" s="1">
        <v>76.099999999999994</v>
      </c>
      <c r="J29">
        <v>234</v>
      </c>
      <c r="K29">
        <v>25</v>
      </c>
      <c r="L29">
        <v>20</v>
      </c>
      <c r="M29">
        <v>10</v>
      </c>
      <c r="N29">
        <v>10</v>
      </c>
      <c r="O29">
        <v>10</v>
      </c>
      <c r="P29">
        <v>10</v>
      </c>
      <c r="Q29">
        <v>30</v>
      </c>
      <c r="R29">
        <v>30</v>
      </c>
      <c r="S29">
        <v>29</v>
      </c>
      <c r="T29">
        <v>10</v>
      </c>
      <c r="U29">
        <v>20</v>
      </c>
      <c r="V29">
        <v>10</v>
      </c>
      <c r="W29">
        <v>10</v>
      </c>
      <c r="X29">
        <v>10</v>
      </c>
    </row>
    <row r="30" spans="1:25" ht="24.95" customHeight="1" x14ac:dyDescent="0.25">
      <c r="A30" s="5">
        <v>16458902</v>
      </c>
      <c r="B30" t="s">
        <v>67</v>
      </c>
      <c r="C30" t="s">
        <v>68</v>
      </c>
      <c r="E30" t="s">
        <v>33</v>
      </c>
      <c r="F30" t="s">
        <v>129</v>
      </c>
      <c r="G30" s="6">
        <v>0.44</v>
      </c>
      <c r="H30" s="2">
        <v>7.5</v>
      </c>
      <c r="I30" s="1">
        <v>99.8</v>
      </c>
      <c r="J30">
        <v>173</v>
      </c>
      <c r="K30">
        <v>6</v>
      </c>
      <c r="L30">
        <v>12</v>
      </c>
      <c r="M30">
        <v>12</v>
      </c>
      <c r="N30">
        <v>12</v>
      </c>
      <c r="O30">
        <v>12</v>
      </c>
      <c r="P30">
        <v>12</v>
      </c>
      <c r="Q30">
        <v>12</v>
      </c>
      <c r="R30">
        <v>24</v>
      </c>
      <c r="S30">
        <v>11</v>
      </c>
      <c r="T30">
        <v>12</v>
      </c>
      <c r="U30">
        <v>12</v>
      </c>
      <c r="V30">
        <v>12</v>
      </c>
      <c r="W30">
        <v>12</v>
      </c>
      <c r="X30">
        <v>12</v>
      </c>
    </row>
    <row r="31" spans="1:25" ht="24.95" customHeight="1" x14ac:dyDescent="0.25">
      <c r="A31" s="5">
        <v>16458802</v>
      </c>
      <c r="B31" t="s">
        <v>69</v>
      </c>
      <c r="C31" t="s">
        <v>70</v>
      </c>
      <c r="E31" t="s">
        <v>33</v>
      </c>
      <c r="F31" t="s">
        <v>129</v>
      </c>
      <c r="G31" s="6">
        <v>0.44</v>
      </c>
      <c r="H31" s="2">
        <v>5</v>
      </c>
      <c r="I31" s="1">
        <v>94.9</v>
      </c>
      <c r="J31">
        <v>173</v>
      </c>
      <c r="K31">
        <v>6</v>
      </c>
      <c r="L31">
        <v>12</v>
      </c>
      <c r="M31">
        <v>12</v>
      </c>
      <c r="N31">
        <v>12</v>
      </c>
      <c r="O31">
        <v>12</v>
      </c>
      <c r="P31">
        <v>12</v>
      </c>
      <c r="Q31">
        <v>12</v>
      </c>
      <c r="R31">
        <v>24</v>
      </c>
      <c r="S31">
        <v>11</v>
      </c>
      <c r="T31">
        <v>12</v>
      </c>
      <c r="U31">
        <v>12</v>
      </c>
      <c r="V31">
        <v>12</v>
      </c>
      <c r="W31">
        <v>12</v>
      </c>
      <c r="X31">
        <v>12</v>
      </c>
    </row>
    <row r="32" spans="1:25" ht="24.95" customHeight="1" x14ac:dyDescent="0.25">
      <c r="A32" s="5">
        <v>16455302</v>
      </c>
      <c r="B32" t="s">
        <v>71</v>
      </c>
      <c r="C32" t="s">
        <v>72</v>
      </c>
      <c r="E32" t="s">
        <v>33</v>
      </c>
      <c r="F32" t="s">
        <v>128</v>
      </c>
      <c r="G32" s="6">
        <v>0.33</v>
      </c>
      <c r="H32" s="2">
        <v>7</v>
      </c>
      <c r="I32" s="1">
        <v>79.5</v>
      </c>
      <c r="J32">
        <v>233</v>
      </c>
      <c r="K32">
        <v>18</v>
      </c>
      <c r="L32">
        <v>24</v>
      </c>
      <c r="M32">
        <v>24</v>
      </c>
      <c r="N32">
        <v>12</v>
      </c>
      <c r="O32">
        <v>12</v>
      </c>
      <c r="Q32">
        <v>24</v>
      </c>
      <c r="R32">
        <v>24</v>
      </c>
      <c r="S32">
        <v>23</v>
      </c>
      <c r="T32">
        <v>12</v>
      </c>
      <c r="U32">
        <v>24</v>
      </c>
      <c r="V32">
        <v>12</v>
      </c>
      <c r="W32">
        <v>12</v>
      </c>
      <c r="X32">
        <v>12</v>
      </c>
    </row>
    <row r="33" spans="1:25" ht="24.95" customHeight="1" x14ac:dyDescent="0.25">
      <c r="A33" s="5">
        <v>16455202</v>
      </c>
      <c r="B33" t="s">
        <v>71</v>
      </c>
      <c r="C33" t="s">
        <v>73</v>
      </c>
      <c r="E33" t="s">
        <v>33</v>
      </c>
      <c r="F33" t="s">
        <v>125</v>
      </c>
      <c r="G33" s="6">
        <v>0.33</v>
      </c>
      <c r="H33" s="2">
        <v>6.8</v>
      </c>
      <c r="I33" s="1">
        <v>79.8</v>
      </c>
      <c r="J33">
        <v>233</v>
      </c>
      <c r="K33">
        <v>18</v>
      </c>
      <c r="L33">
        <v>24</v>
      </c>
      <c r="M33">
        <v>24</v>
      </c>
      <c r="N33">
        <v>12</v>
      </c>
      <c r="O33">
        <v>12</v>
      </c>
      <c r="Q33">
        <v>24</v>
      </c>
      <c r="R33">
        <v>24</v>
      </c>
      <c r="S33">
        <v>23</v>
      </c>
      <c r="T33">
        <v>12</v>
      </c>
      <c r="U33">
        <v>24</v>
      </c>
      <c r="V33">
        <v>12</v>
      </c>
      <c r="W33">
        <v>12</v>
      </c>
      <c r="X33">
        <v>12</v>
      </c>
    </row>
    <row r="34" spans="1:25" ht="24.95" customHeight="1" x14ac:dyDescent="0.25">
      <c r="A34" s="5">
        <v>16436602</v>
      </c>
      <c r="B34" t="s">
        <v>31</v>
      </c>
      <c r="C34" t="s">
        <v>32</v>
      </c>
      <c r="E34" t="s">
        <v>33</v>
      </c>
      <c r="F34" t="s">
        <v>125</v>
      </c>
      <c r="G34" s="6">
        <v>0.33</v>
      </c>
      <c r="H34" s="2">
        <v>7.2</v>
      </c>
      <c r="I34" s="1">
        <v>80.900000000000006</v>
      </c>
      <c r="J34">
        <v>352</v>
      </c>
      <c r="K34">
        <v>17</v>
      </c>
      <c r="L34">
        <v>24</v>
      </c>
      <c r="M34">
        <v>24</v>
      </c>
      <c r="N34">
        <v>24</v>
      </c>
      <c r="O34">
        <v>24</v>
      </c>
      <c r="P34">
        <v>24</v>
      </c>
      <c r="Q34">
        <v>24</v>
      </c>
      <c r="R34">
        <v>48</v>
      </c>
      <c r="S34">
        <v>23</v>
      </c>
      <c r="T34">
        <v>24</v>
      </c>
      <c r="U34">
        <v>24</v>
      </c>
      <c r="V34">
        <v>24</v>
      </c>
      <c r="W34">
        <v>24</v>
      </c>
      <c r="X34">
        <v>24</v>
      </c>
    </row>
    <row r="35" spans="1:25" ht="24.95" customHeight="1" x14ac:dyDescent="0.25">
      <c r="A35" s="5">
        <v>16436502</v>
      </c>
      <c r="B35" t="s">
        <v>31</v>
      </c>
      <c r="C35" t="s">
        <v>34</v>
      </c>
      <c r="E35" t="s">
        <v>33</v>
      </c>
      <c r="F35" t="s">
        <v>125</v>
      </c>
      <c r="G35" s="6">
        <v>0.33</v>
      </c>
      <c r="H35" s="2">
        <v>8</v>
      </c>
      <c r="I35" s="1">
        <v>84.2</v>
      </c>
      <c r="J35">
        <v>232</v>
      </c>
      <c r="K35">
        <v>17</v>
      </c>
      <c r="L35">
        <v>24</v>
      </c>
      <c r="M35">
        <v>12</v>
      </c>
      <c r="N35">
        <v>12</v>
      </c>
      <c r="O35">
        <v>12</v>
      </c>
      <c r="P35">
        <v>12</v>
      </c>
      <c r="Q35">
        <v>24</v>
      </c>
      <c r="R35">
        <v>24</v>
      </c>
      <c r="S35">
        <v>23</v>
      </c>
      <c r="T35">
        <v>12</v>
      </c>
      <c r="U35">
        <v>24</v>
      </c>
      <c r="V35">
        <v>12</v>
      </c>
      <c r="W35">
        <v>12</v>
      </c>
      <c r="X35">
        <v>12</v>
      </c>
    </row>
    <row r="36" spans="1:25" ht="24.95" customHeight="1" x14ac:dyDescent="0.25">
      <c r="A36" s="5">
        <v>16459002</v>
      </c>
      <c r="B36" t="s">
        <v>64</v>
      </c>
      <c r="C36" t="s">
        <v>65</v>
      </c>
      <c r="E36" t="s">
        <v>131</v>
      </c>
      <c r="F36" t="s">
        <v>128</v>
      </c>
      <c r="G36" s="6">
        <v>0.44</v>
      </c>
      <c r="H36" s="2">
        <v>12</v>
      </c>
      <c r="I36" s="1">
        <v>129.80000000000001</v>
      </c>
      <c r="J36">
        <v>120</v>
      </c>
      <c r="K36">
        <v>12</v>
      </c>
      <c r="L36">
        <v>12</v>
      </c>
      <c r="M36">
        <v>6</v>
      </c>
      <c r="N36">
        <v>6</v>
      </c>
      <c r="O36">
        <v>6</v>
      </c>
      <c r="P36">
        <v>6</v>
      </c>
      <c r="Q36">
        <v>12</v>
      </c>
      <c r="R36">
        <v>12</v>
      </c>
      <c r="S36">
        <v>12</v>
      </c>
      <c r="T36">
        <v>6</v>
      </c>
      <c r="U36">
        <v>12</v>
      </c>
      <c r="V36">
        <v>6</v>
      </c>
      <c r="W36">
        <v>6</v>
      </c>
      <c r="X36">
        <v>6</v>
      </c>
    </row>
    <row r="37" spans="1:25" ht="24.95" customHeight="1" x14ac:dyDescent="0.25">
      <c r="A37" s="7">
        <v>16458702</v>
      </c>
      <c r="B37" t="s">
        <v>64</v>
      </c>
      <c r="C37" t="s">
        <v>66</v>
      </c>
      <c r="E37" t="s">
        <v>131</v>
      </c>
      <c r="F37" t="s">
        <v>128</v>
      </c>
      <c r="G37" s="6">
        <v>0.44</v>
      </c>
      <c r="H37" s="2">
        <v>12</v>
      </c>
      <c r="I37" s="1">
        <v>129.80000000000001</v>
      </c>
      <c r="J37">
        <v>114</v>
      </c>
      <c r="K37">
        <v>7</v>
      </c>
      <c r="L37">
        <v>12</v>
      </c>
      <c r="M37">
        <v>6</v>
      </c>
      <c r="N37">
        <v>6</v>
      </c>
      <c r="O37">
        <v>6</v>
      </c>
      <c r="P37">
        <v>6</v>
      </c>
      <c r="Q37">
        <v>12</v>
      </c>
      <c r="R37">
        <v>12</v>
      </c>
      <c r="S37">
        <v>11</v>
      </c>
      <c r="T37">
        <v>6</v>
      </c>
      <c r="U37">
        <v>12</v>
      </c>
      <c r="V37">
        <v>6</v>
      </c>
      <c r="W37">
        <v>6</v>
      </c>
      <c r="X37">
        <v>6</v>
      </c>
    </row>
    <row r="38" spans="1:25" ht="24.95" customHeight="1" x14ac:dyDescent="0.25">
      <c r="A38" s="5">
        <v>16442302</v>
      </c>
      <c r="B38" t="s">
        <v>57</v>
      </c>
      <c r="C38" t="s">
        <v>58</v>
      </c>
      <c r="E38" t="s">
        <v>56</v>
      </c>
      <c r="F38" t="s">
        <v>129</v>
      </c>
      <c r="G38" s="6">
        <v>0.35499999999999998</v>
      </c>
      <c r="H38" s="2">
        <v>9</v>
      </c>
      <c r="I38" s="1">
        <v>149.9</v>
      </c>
      <c r="J38">
        <v>328</v>
      </c>
      <c r="K38">
        <v>17</v>
      </c>
      <c r="L38">
        <v>24</v>
      </c>
      <c r="M38">
        <v>12</v>
      </c>
      <c r="N38">
        <v>12</v>
      </c>
      <c r="O38">
        <v>12</v>
      </c>
      <c r="P38">
        <v>12</v>
      </c>
      <c r="Q38">
        <v>36</v>
      </c>
      <c r="R38">
        <v>36</v>
      </c>
      <c r="S38">
        <v>35</v>
      </c>
      <c r="T38">
        <v>24</v>
      </c>
      <c r="U38">
        <v>24</v>
      </c>
      <c r="V38">
        <v>24</v>
      </c>
      <c r="W38">
        <v>24</v>
      </c>
      <c r="X38">
        <v>24</v>
      </c>
      <c r="Y38">
        <v>12</v>
      </c>
    </row>
    <row r="39" spans="1:25" ht="24.95" customHeight="1" x14ac:dyDescent="0.25">
      <c r="A39" s="5">
        <v>16442002</v>
      </c>
      <c r="B39" t="s">
        <v>57</v>
      </c>
      <c r="C39" t="s">
        <v>59</v>
      </c>
      <c r="E39" t="s">
        <v>56</v>
      </c>
      <c r="F39" t="s">
        <v>129</v>
      </c>
      <c r="G39" s="6">
        <v>0.35499999999999998</v>
      </c>
      <c r="H39" s="2">
        <v>6</v>
      </c>
      <c r="I39" s="1">
        <v>142.9</v>
      </c>
      <c r="J39">
        <v>328</v>
      </c>
      <c r="K39">
        <v>17</v>
      </c>
      <c r="L39">
        <v>24</v>
      </c>
      <c r="M39">
        <v>12</v>
      </c>
      <c r="N39">
        <v>12</v>
      </c>
      <c r="O39">
        <v>12</v>
      </c>
      <c r="P39">
        <v>12</v>
      </c>
      <c r="Q39">
        <v>36</v>
      </c>
      <c r="R39">
        <v>36</v>
      </c>
      <c r="S39">
        <v>35</v>
      </c>
      <c r="T39">
        <v>24</v>
      </c>
      <c r="U39">
        <v>24</v>
      </c>
      <c r="V39">
        <v>24</v>
      </c>
      <c r="W39">
        <v>24</v>
      </c>
      <c r="X39">
        <v>24</v>
      </c>
      <c r="Y39">
        <v>12</v>
      </c>
    </row>
    <row r="40" spans="1:25" ht="24.95" customHeight="1" x14ac:dyDescent="0.25">
      <c r="A40" s="5">
        <v>16443502</v>
      </c>
      <c r="B40" t="s">
        <v>54</v>
      </c>
      <c r="C40" t="s">
        <v>55</v>
      </c>
      <c r="E40" t="s">
        <v>56</v>
      </c>
      <c r="F40" t="s">
        <v>128</v>
      </c>
      <c r="G40" s="6">
        <v>0.375</v>
      </c>
      <c r="H40" s="2">
        <v>14.4</v>
      </c>
      <c r="I40" s="1">
        <v>599.9</v>
      </c>
      <c r="J40">
        <v>34</v>
      </c>
      <c r="K40" s="8">
        <v>6</v>
      </c>
      <c r="L40" s="8">
        <v>2</v>
      </c>
      <c r="M40" s="8">
        <v>2</v>
      </c>
      <c r="N40" s="8">
        <v>1</v>
      </c>
      <c r="O40" s="8">
        <v>1</v>
      </c>
      <c r="P40" s="8">
        <v>0</v>
      </c>
      <c r="Q40" s="8">
        <v>5</v>
      </c>
      <c r="R40" s="8">
        <v>6</v>
      </c>
      <c r="S40" s="8">
        <v>5</v>
      </c>
      <c r="T40" s="8">
        <v>1</v>
      </c>
      <c r="U40" s="8">
        <v>2</v>
      </c>
      <c r="V40" s="8">
        <v>1</v>
      </c>
      <c r="W40" s="8">
        <v>1</v>
      </c>
      <c r="X40" s="8">
        <v>1</v>
      </c>
      <c r="Y40" s="8">
        <v>0</v>
      </c>
    </row>
    <row r="41" spans="1:25" ht="24.95" customHeight="1" x14ac:dyDescent="0.25">
      <c r="A41" s="5">
        <v>16442202</v>
      </c>
      <c r="B41" t="s">
        <v>60</v>
      </c>
      <c r="C41" t="s">
        <v>61</v>
      </c>
      <c r="E41" t="s">
        <v>56</v>
      </c>
      <c r="F41" t="s">
        <v>128</v>
      </c>
      <c r="G41" s="6">
        <v>0.35499999999999998</v>
      </c>
      <c r="H41" s="2">
        <v>10.199999999999999</v>
      </c>
      <c r="I41" s="1">
        <v>149.9</v>
      </c>
      <c r="J41">
        <v>173</v>
      </c>
      <c r="K41">
        <v>6</v>
      </c>
      <c r="L41">
        <v>12</v>
      </c>
      <c r="M41">
        <v>12</v>
      </c>
      <c r="N41">
        <v>12</v>
      </c>
      <c r="O41">
        <v>12</v>
      </c>
      <c r="P41">
        <v>12</v>
      </c>
      <c r="Q41">
        <v>12</v>
      </c>
      <c r="R41">
        <v>12</v>
      </c>
      <c r="S41">
        <v>11</v>
      </c>
      <c r="T41">
        <v>12</v>
      </c>
      <c r="U41">
        <v>12</v>
      </c>
      <c r="V41">
        <v>12</v>
      </c>
      <c r="W41">
        <v>12</v>
      </c>
      <c r="X41">
        <v>12</v>
      </c>
      <c r="Y41">
        <v>12</v>
      </c>
    </row>
    <row r="42" spans="1:25" ht="24.95" customHeight="1" x14ac:dyDescent="0.25">
      <c r="A42" s="5">
        <v>16442102</v>
      </c>
      <c r="B42" t="s">
        <v>62</v>
      </c>
      <c r="C42" t="s">
        <v>63</v>
      </c>
      <c r="E42" t="s">
        <v>56</v>
      </c>
      <c r="F42" t="s">
        <v>128</v>
      </c>
      <c r="G42" s="6">
        <v>0.35499999999999998</v>
      </c>
      <c r="H42" s="2">
        <v>12</v>
      </c>
      <c r="I42" s="1">
        <v>189.9</v>
      </c>
      <c r="J42">
        <v>137</v>
      </c>
      <c r="K42">
        <v>6</v>
      </c>
      <c r="L42">
        <v>12</v>
      </c>
      <c r="M42">
        <v>12</v>
      </c>
      <c r="N42">
        <v>6</v>
      </c>
      <c r="O42">
        <v>6</v>
      </c>
      <c r="P42">
        <v>6</v>
      </c>
      <c r="Q42">
        <v>12</v>
      </c>
      <c r="R42">
        <v>24</v>
      </c>
      <c r="S42">
        <v>11</v>
      </c>
      <c r="T42">
        <v>6</v>
      </c>
      <c r="U42">
        <v>12</v>
      </c>
      <c r="V42">
        <v>6</v>
      </c>
      <c r="W42">
        <v>6</v>
      </c>
      <c r="X42">
        <v>6</v>
      </c>
      <c r="Y42">
        <v>6</v>
      </c>
    </row>
    <row r="43" spans="1:25" x14ac:dyDescent="0.25">
      <c r="A43" s="5"/>
      <c r="G43" s="6"/>
      <c r="H43" s="2"/>
      <c r="I43" s="1"/>
    </row>
    <row r="44" spans="1:25" x14ac:dyDescent="0.25">
      <c r="A44" s="5"/>
      <c r="G44" s="6"/>
      <c r="H44" s="2"/>
      <c r="I44" s="1"/>
    </row>
    <row r="45" spans="1:25" x14ac:dyDescent="0.25">
      <c r="A45" s="5"/>
      <c r="G45" s="6"/>
      <c r="H45" s="2"/>
      <c r="I45" s="1"/>
    </row>
    <row r="46" spans="1:25" x14ac:dyDescent="0.25">
      <c r="A46" s="5"/>
      <c r="G46" s="6"/>
      <c r="H46" s="2"/>
      <c r="I46" s="1"/>
    </row>
    <row r="47" spans="1:25" x14ac:dyDescent="0.25">
      <c r="A47" s="5"/>
      <c r="G47" s="6"/>
      <c r="H47" s="2"/>
      <c r="I47" s="1"/>
    </row>
    <row r="48" spans="1:25" x14ac:dyDescent="0.25">
      <c r="A48" s="5"/>
      <c r="G48" s="6"/>
      <c r="H48" s="2"/>
      <c r="I48" s="1"/>
    </row>
    <row r="49" spans="1:9" x14ac:dyDescent="0.25">
      <c r="A49" s="5"/>
      <c r="G49" s="6"/>
      <c r="H49" s="2"/>
      <c r="I49" s="1"/>
    </row>
    <row r="50" spans="1:9" x14ac:dyDescent="0.25">
      <c r="A50" s="5"/>
      <c r="G50" s="6"/>
      <c r="H50" s="2"/>
      <c r="I50" s="1"/>
    </row>
    <row r="51" spans="1:9" x14ac:dyDescent="0.25">
      <c r="A51" s="5"/>
      <c r="G51" s="6"/>
      <c r="H51" s="2"/>
      <c r="I51" s="1"/>
    </row>
    <row r="52" spans="1:9" x14ac:dyDescent="0.25">
      <c r="A52" s="5"/>
      <c r="G52" s="6"/>
      <c r="H52" s="2"/>
      <c r="I52" s="1"/>
    </row>
    <row r="53" spans="1:9" x14ac:dyDescent="0.25">
      <c r="A53" s="5"/>
      <c r="G53" s="6"/>
      <c r="H53" s="2"/>
      <c r="I53" s="1"/>
    </row>
    <row r="54" spans="1:9" x14ac:dyDescent="0.25">
      <c r="A54" s="5"/>
      <c r="G54" s="6"/>
      <c r="H54" s="2"/>
      <c r="I54" s="1"/>
    </row>
    <row r="55" spans="1:9" x14ac:dyDescent="0.25">
      <c r="A55" s="5"/>
      <c r="G55" s="6"/>
      <c r="H55" s="2"/>
      <c r="I55" s="1"/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1621F1-2EB4-4815-836C-545ACE379A03}">
  <ds:schemaRefs>
    <ds:schemaRef ds:uri="http://schemas.microsoft.com/office/infopath/2007/PartnerControls"/>
    <ds:schemaRef ds:uri="6f9d9f57-3724-4ee0-9bc0-8a070f583baf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56ee34bc-3c3e-49ed-81f0-4f6da9966ad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0030D82-D9E6-44F3-9BB7-5FF3A79C1AE4}"/>
</file>

<file path=customXml/itemProps3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Arbeidsliste</vt:lpstr>
      <vt:lpstr>Smaksnotater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Aronsen, Eli</cp:lastModifiedBy>
  <cp:revision/>
  <dcterms:created xsi:type="dcterms:W3CDTF">2023-08-07T12:39:13Z</dcterms:created>
  <dcterms:modified xsi:type="dcterms:W3CDTF">2023-10-25T08:39:37Z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