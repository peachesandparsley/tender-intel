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11 Brennevin/"/>
    </mc:Choice>
  </mc:AlternateContent>
  <xr:revisionPtr revIDLastSave="49" documentId="8_{55A90C77-25CB-455A-A565-E016FCECAACE}" xr6:coauthVersionLast="47" xr6:coauthVersionMax="47" xr10:uidLastSave="{EAFED30D-8064-4554-AA30-7AA34D8510FA}"/>
  <bookViews>
    <workbookView xWindow="-28920" yWindow="-1425" windowWidth="29040" windowHeight="17640" xr2:uid="{BE052097-9778-4E71-A305-FED9C9B3892F}"/>
  </bookViews>
  <sheets>
    <sheet name="Ark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40" i="1"/>
  <c r="I15" i="1"/>
  <c r="I3" i="1"/>
  <c r="I25" i="1"/>
  <c r="I36" i="1"/>
  <c r="I43" i="1"/>
  <c r="I22" i="1"/>
</calcChain>
</file>

<file path=xl/sharedStrings.xml><?xml version="1.0" encoding="utf-8"?>
<sst xmlns="http://schemas.openxmlformats.org/spreadsheetml/2006/main" count="211" uniqueCount="113">
  <si>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</si>
  <si>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</si>
  <si>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</si>
  <si>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</si>
  <si>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</si>
  <si>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</si>
  <si>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</si>
  <si>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</si>
  <si>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</si>
  <si>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</si>
  <si>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 xml:space="preserve">Til kvotering </t>
  </si>
  <si>
    <t>Macallan</t>
  </si>
  <si>
    <t>Skottland</t>
  </si>
  <si>
    <t>Single Malt Whisky</t>
  </si>
  <si>
    <t xml:space="preserve">Diageo </t>
  </si>
  <si>
    <t>Mexico</t>
  </si>
  <si>
    <t>Tequila</t>
  </si>
  <si>
    <t>International Beverage</t>
  </si>
  <si>
    <t xml:space="preserve">Old Pulteney 25 years old </t>
  </si>
  <si>
    <t xml:space="preserve">Speyburn 18 years old </t>
  </si>
  <si>
    <t>Christian Drouin SAS</t>
  </si>
  <si>
    <t>Millesime Calvados Pays d'Auge</t>
  </si>
  <si>
    <t>France</t>
  </si>
  <si>
    <t>Calvados</t>
  </si>
  <si>
    <t>GlenAllachie</t>
  </si>
  <si>
    <t>GlenAllachie Single Cask 2006 #1408 Single Malt 16YO</t>
  </si>
  <si>
    <t xml:space="preserve">GlenAllachie Single Cask 2007 #800467 Single Malt 15YO </t>
  </si>
  <si>
    <t>GlenAllachie Single Cask 2008 #414 Single Malt 13YO</t>
  </si>
  <si>
    <t xml:space="preserve">GlenAllachie Single Cask 2011 #7448 Single Malt 11YO </t>
  </si>
  <si>
    <t>The Benriach Distillery</t>
  </si>
  <si>
    <t>Benriach Malting Season Batch 3</t>
  </si>
  <si>
    <t>Benriach 24YO 1998 Cask 5944</t>
  </si>
  <si>
    <t>Benriach 28YO 1994 Cask 2061</t>
  </si>
  <si>
    <t>The Glenlivet Distillery</t>
  </si>
  <si>
    <t>The Glenlivet Nàdurra First Fill - Cask Strength</t>
  </si>
  <si>
    <t>The Glenlivet 21 Year Old Triple Cask</t>
  </si>
  <si>
    <t>USA</t>
  </si>
  <si>
    <t>Bourbon</t>
  </si>
  <si>
    <t>Havana Club International</t>
  </si>
  <si>
    <t>Havana Club Don Navarro</t>
  </si>
  <si>
    <t>Cuba</t>
  </si>
  <si>
    <t>Rom</t>
  </si>
  <si>
    <t>Chivas Brothers / Braes of Glenlivet Distillery</t>
  </si>
  <si>
    <t>Scotland</t>
  </si>
  <si>
    <t>Pernod Ricard Mexico / House of Tequila</t>
  </si>
  <si>
    <t>Avión Reserva 44 Extra Añejo Tequila</t>
  </si>
  <si>
    <t>The Willett Distillery</t>
  </si>
  <si>
    <t>Willett Family Estate Bottled Single Barrel Rye No.3093 6 years</t>
  </si>
  <si>
    <t>Willett Family Estate Bottled Single Barrel Bourbon no.2233 6 years</t>
  </si>
  <si>
    <t>Delamain</t>
  </si>
  <si>
    <t>Delamain Pléiade Apogée Grande Champagne Mr. Dauge Testimony</t>
  </si>
  <si>
    <t>Frankrike</t>
  </si>
  <si>
    <t>Cognac</t>
  </si>
  <si>
    <t>Springbank</t>
  </si>
  <si>
    <t>Springbank 21 YO (2023-tapning)</t>
  </si>
  <si>
    <t>Hazelburn 12 YO Sherry Wood</t>
  </si>
  <si>
    <t>Glengyle - Springbank</t>
  </si>
  <si>
    <t>Kilkerran 16 YO</t>
  </si>
  <si>
    <t>J&amp;G Grant</t>
  </si>
  <si>
    <t>Glenfarclas Family Casks 2008 Cask #262</t>
  </si>
  <si>
    <t>Ardbeg</t>
  </si>
  <si>
    <t>Ardbeg Anthology</t>
  </si>
  <si>
    <t>Glenmorangie</t>
  </si>
  <si>
    <t>A Tale of Tokyo</t>
  </si>
  <si>
    <t>Duncan Taylor</t>
  </si>
  <si>
    <t>Duncan Taylor Single Cask Bunnahabhain Heavily Peated 2014 8yo</t>
  </si>
  <si>
    <t>AD Rattray</t>
  </si>
  <si>
    <t>A.D Rattray Cask Collection 71 Balblair 2011, Cask #635 12 years old</t>
  </si>
  <si>
    <t>Craigallachie Distillery</t>
  </si>
  <si>
    <t>Az. Agr. Capovilla</t>
  </si>
  <si>
    <t>Distillato di Pere Williams</t>
  </si>
  <si>
    <t>Italia</t>
  </si>
  <si>
    <t>Fruktbrennevin</t>
  </si>
  <si>
    <t>Distillato di Pesche Saturno</t>
  </si>
  <si>
    <t>Distillato di Prugne Selvatiche</t>
  </si>
  <si>
    <t>Grappa di Nebbiolo</t>
  </si>
  <si>
    <t>Grappa</t>
  </si>
  <si>
    <t>Distillato di Ciliegie Duroni</t>
  </si>
  <si>
    <t>Adelphi Distillery</t>
  </si>
  <si>
    <t>Paul Lanois 2023</t>
  </si>
  <si>
    <t>Sherry Cask Release</t>
  </si>
  <si>
    <t>Isle of Raasay Distillery</t>
  </si>
  <si>
    <t>Dùn Cana – Sherry Quarter Cask Release</t>
  </si>
  <si>
    <t>Bowmore</t>
  </si>
  <si>
    <t>Brugal</t>
  </si>
  <si>
    <t>Brugal Coleccion Visionaria</t>
  </si>
  <si>
    <t>Den dominikanske republikk</t>
  </si>
  <si>
    <t>Whyte &amp; Mackay</t>
  </si>
  <si>
    <t>Talisker Distillery</t>
  </si>
  <si>
    <t>Talisker 18 YO</t>
  </si>
  <si>
    <t>Mortlach Distillery</t>
  </si>
  <si>
    <t>Mortlach 25 YO</t>
  </si>
  <si>
    <t>Nc'Nean</t>
  </si>
  <si>
    <t>Nc'Nean Quiet Rebels Gordon</t>
  </si>
  <si>
    <t>Casamigos Reposado</t>
  </si>
  <si>
    <t>Casamigos Blanco</t>
  </si>
  <si>
    <t>The Glenlivet 17 YO Single Cask Edition Nr #19911</t>
  </si>
  <si>
    <t>Braes Of Glenlivet 25 YO Rare Release</t>
  </si>
  <si>
    <t>Craigellachie 17</t>
  </si>
  <si>
    <t>Macallan Sherry Oak 18 YO</t>
  </si>
  <si>
    <t>Bowmore 12 YO</t>
  </si>
  <si>
    <t>Fettercairn 16 yo 2023</t>
  </si>
  <si>
    <t>Fordeling Postkontor/ På dør</t>
  </si>
  <si>
    <t>Fordeling Aker Brygge</t>
  </si>
  <si>
    <t>Fordeling Valkendorfsgt</t>
  </si>
  <si>
    <t>Fordeling Hamar</t>
  </si>
  <si>
    <t>Fordeling Sandnes Kvadrat</t>
  </si>
  <si>
    <t>Fordeling Storo</t>
  </si>
  <si>
    <t>Fordeling Sandefjord</t>
  </si>
  <si>
    <t>Fordeling Valentinlyst</t>
  </si>
  <si>
    <t>Fordeling Tromsø Langnes</t>
  </si>
  <si>
    <t>1 pr kunde</t>
  </si>
  <si>
    <t>1 fl fra Springbank pr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</si>
</sst>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ARO\AppData\Local\Temp\Tempb33f501c-d582-4de0-90e4-4e9da613ef88_Brennevin%20nov.zip\Brennevin%20no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nnevin nov"/>
    </sheetNames>
    <sheetDataSet>
      <sheetData sheetId="0">
        <row r="1">
          <cell r="A1" t="str">
            <v>Artikkelnr</v>
          </cell>
          <cell r="B1" t="str">
            <v>Artikkelnavn</v>
          </cell>
          <cell r="C1" t="str">
            <v>Introdato</v>
          </cell>
          <cell r="D1" t="str">
            <v>Utvalg</v>
          </cell>
          <cell r="E1" t="str">
            <v>Utvalg fra</v>
          </cell>
          <cell r="F1" t="str">
            <v>Utvalg til</v>
          </cell>
          <cell r="G1" t="str">
            <v>Kategori</v>
          </cell>
          <cell r="H1" t="str">
            <v>Varegruppe</v>
          </cell>
          <cell r="I1" t="str">
            <v>Land</v>
          </cell>
          <cell r="J1" t="str">
            <v>Distrikt</v>
          </cell>
          <cell r="K1" t="str">
            <v>Underdistrikt</v>
          </cell>
          <cell r="L1" t="str">
            <v>Lokalt produsert</v>
          </cell>
          <cell r="M1" t="str">
            <v>Produsent</v>
          </cell>
          <cell r="N1" t="str">
            <v>Farge</v>
          </cell>
          <cell r="O1" t="str">
            <v>Lukt</v>
          </cell>
          <cell r="P1" t="str">
            <v>Smak</v>
          </cell>
          <cell r="Q1" t="str">
            <v>Karakteristikk (gml)</v>
          </cell>
          <cell r="R1" t="str">
            <v>Søt vin</v>
          </cell>
          <cell r="S1" t="str">
            <v>Økologisk</v>
          </cell>
          <cell r="T1" t="str">
            <v>Biodynamisk</v>
          </cell>
          <cell r="U1" t="str">
            <v>Sertifisert etisk</v>
          </cell>
          <cell r="V1" t="str">
            <v>Kosher</v>
          </cell>
          <cell r="W1" t="str">
            <v>Glutenfri</v>
          </cell>
          <cell r="X1" t="str">
            <v>Alkoholprosent</v>
          </cell>
          <cell r="Y1" t="str">
            <v>Volum</v>
          </cell>
          <cell r="Z1" t="str">
            <v>Pris gyldig fra</v>
          </cell>
          <cell r="AA1" t="str">
            <v>Pris gyldig til</v>
          </cell>
          <cell r="AB1" t="str">
            <v>Salgspris inkl pant</v>
          </cell>
          <cell r="AC1" t="str">
            <v>Literpris</v>
          </cell>
          <cell r="AD1" t="str">
            <v>Grossist</v>
          </cell>
          <cell r="AE1" t="str">
            <v>Distributør</v>
          </cell>
          <cell r="AF1" t="str">
            <v>Best. kvt, minimum</v>
          </cell>
        </row>
        <row r="2">
          <cell r="A2">
            <v>761401</v>
          </cell>
          <cell r="B2" t="str">
            <v>Bowmore Single Malt 12 Years Old</v>
          </cell>
          <cell r="C2">
            <v>45253</v>
          </cell>
          <cell r="D2" t="str">
            <v>Spesialutvalg</v>
          </cell>
          <cell r="E2">
            <v>45204</v>
          </cell>
          <cell r="F2">
            <v>2958465</v>
          </cell>
          <cell r="H2" t="str">
            <v>Whisky</v>
          </cell>
          <cell r="I2" t="str">
            <v>Skottland</v>
          </cell>
          <cell r="J2" t="str">
            <v>Islay</v>
          </cell>
          <cell r="M2" t="str">
            <v>Bowmore</v>
          </cell>
          <cell r="N2" t="str">
            <v>Dyp gyllenbrun.</v>
          </cell>
          <cell r="O2" t="str">
            <v>Røykpreget aroma med innslag av tørket frukt, sitrus og kjøtt, hint av jod, sjø og fat.</v>
          </cell>
          <cell r="P2" t="str">
            <v>Smaksrik og litt rustikk whisky med god fylde og lengde.</v>
          </cell>
          <cell r="X2">
            <v>40</v>
          </cell>
          <cell r="Y2">
            <v>0.7</v>
          </cell>
          <cell r="Z2">
            <v>45204</v>
          </cell>
          <cell r="AA2">
            <v>2958465</v>
          </cell>
          <cell r="AB2">
            <v>599.9</v>
          </cell>
          <cell r="AC2">
            <v>857</v>
          </cell>
          <cell r="AD2" t="str">
            <v>Edrington Norway AS</v>
          </cell>
          <cell r="AE2" t="str">
            <v>Vectura AS</v>
          </cell>
          <cell r="AF2">
            <v>6</v>
          </cell>
        </row>
        <row r="3">
          <cell r="A3">
            <v>2198401</v>
          </cell>
          <cell r="B3" t="str">
            <v>The Glenlivet Nadurra Cask Strength</v>
          </cell>
          <cell r="C3">
            <v>45253</v>
          </cell>
          <cell r="D3" t="str">
            <v>Spesialutvalg</v>
          </cell>
          <cell r="E3">
            <v>45201</v>
          </cell>
          <cell r="F3">
            <v>2958465</v>
          </cell>
          <cell r="H3" t="str">
            <v>Whisky</v>
          </cell>
          <cell r="I3" t="str">
            <v>Skottland</v>
          </cell>
          <cell r="J3" t="str">
            <v>Øvrige</v>
          </cell>
          <cell r="M3" t="str">
            <v>Glenlivet Dist.</v>
          </cell>
          <cell r="N3" t="str">
            <v>Gyllen rav.</v>
          </cell>
          <cell r="O3" t="str">
            <v>Intense fruktaromaer, søtlig med hint av sitrusfrukter.</v>
          </cell>
          <cell r="P3" t="str">
            <v>Friske sommerblomster, søtlig krydret, hint av eik. Ettersmak av honning og ingefær.</v>
          </cell>
          <cell r="X3">
            <v>58.8</v>
          </cell>
          <cell r="Y3">
            <v>0.7</v>
          </cell>
          <cell r="Z3">
            <v>45201</v>
          </cell>
          <cell r="AA3">
            <v>2958465</v>
          </cell>
          <cell r="AB3">
            <v>949</v>
          </cell>
          <cell r="AC3">
            <v>1355.71</v>
          </cell>
          <cell r="AD3" t="str">
            <v>Pernod Ricard Norway AS</v>
          </cell>
          <cell r="AE3" t="str">
            <v>Skanlog AS</v>
          </cell>
          <cell r="AF3">
            <v>6</v>
          </cell>
        </row>
        <row r="4">
          <cell r="A4">
            <v>3458501</v>
          </cell>
          <cell r="B4" t="str">
            <v>The Macallan Sherry Oak 18 YO</v>
          </cell>
          <cell r="C4">
            <v>45001</v>
          </cell>
          <cell r="D4" t="str">
            <v>Spesialutvalg</v>
          </cell>
          <cell r="E4">
            <v>45215</v>
          </cell>
          <cell r="F4">
            <v>2958465</v>
          </cell>
          <cell r="G4" t="str">
            <v>B</v>
          </cell>
          <cell r="H4" t="str">
            <v>Whisky</v>
          </cell>
          <cell r="I4" t="str">
            <v>Skottland</v>
          </cell>
          <cell r="J4" t="str">
            <v>Speyside</v>
          </cell>
          <cell r="M4" t="str">
            <v>Highland Dist.</v>
          </cell>
          <cell r="X4">
            <v>43</v>
          </cell>
          <cell r="Y4">
            <v>0.7</v>
          </cell>
          <cell r="Z4">
            <v>45215</v>
          </cell>
          <cell r="AA4">
            <v>2958465</v>
          </cell>
          <cell r="AB4">
            <v>3999.9</v>
          </cell>
          <cell r="AC4">
            <v>5714.14</v>
          </cell>
          <cell r="AD4" t="str">
            <v>Edrington Norway AS</v>
          </cell>
          <cell r="AE4" t="str">
            <v>Vectura AS</v>
          </cell>
          <cell r="AF4">
            <v>6</v>
          </cell>
        </row>
        <row r="5">
          <cell r="A5">
            <v>3599402</v>
          </cell>
          <cell r="B5" t="str">
            <v>Capovilla Distillato di Pesche Saturno</v>
          </cell>
          <cell r="C5">
            <v>45253</v>
          </cell>
          <cell r="D5" t="str">
            <v>Spesialutvalg</v>
          </cell>
          <cell r="E5">
            <v>45201</v>
          </cell>
          <cell r="F5">
            <v>2958465</v>
          </cell>
          <cell r="H5" t="str">
            <v>Fruktbrennevin</v>
          </cell>
          <cell r="I5" t="str">
            <v>Italia</v>
          </cell>
          <cell r="J5" t="str">
            <v>Veneto</v>
          </cell>
          <cell r="K5" t="str">
            <v>Øvrige</v>
          </cell>
          <cell r="M5" t="str">
            <v>Capovilla</v>
          </cell>
          <cell r="X5">
            <v>41</v>
          </cell>
          <cell r="Y5">
            <v>0.5</v>
          </cell>
          <cell r="Z5">
            <v>45201</v>
          </cell>
          <cell r="AA5">
            <v>2958465</v>
          </cell>
          <cell r="AB5">
            <v>1145.9000000000001</v>
          </cell>
          <cell r="AC5">
            <v>2291.8000000000002</v>
          </cell>
          <cell r="AD5" t="str">
            <v>Grappolo AS</v>
          </cell>
          <cell r="AE5" t="str">
            <v>Vinhuset AS - Oslo</v>
          </cell>
          <cell r="AF5">
            <v>6</v>
          </cell>
        </row>
        <row r="6">
          <cell r="A6">
            <v>7433602</v>
          </cell>
          <cell r="B6" t="str">
            <v>Capovilla Distillato di Prugne Selvatiche</v>
          </cell>
          <cell r="C6">
            <v>45253</v>
          </cell>
          <cell r="D6" t="str">
            <v>Spesialutvalg</v>
          </cell>
          <cell r="E6">
            <v>45201</v>
          </cell>
          <cell r="F6">
            <v>2958465</v>
          </cell>
          <cell r="H6" t="str">
            <v>Fruktbrennevin</v>
          </cell>
          <cell r="I6" t="str">
            <v>Italia</v>
          </cell>
          <cell r="J6" t="str">
            <v>Veneto</v>
          </cell>
          <cell r="K6" t="str">
            <v>Øvrige</v>
          </cell>
          <cell r="M6" t="str">
            <v>Capovilla</v>
          </cell>
          <cell r="X6">
            <v>41</v>
          </cell>
          <cell r="Y6">
            <v>0.5</v>
          </cell>
          <cell r="Z6">
            <v>45201</v>
          </cell>
          <cell r="AA6">
            <v>2958465</v>
          </cell>
          <cell r="AB6">
            <v>1103.7</v>
          </cell>
          <cell r="AC6">
            <v>2207.4</v>
          </cell>
          <cell r="AD6" t="str">
            <v>Grappolo AS</v>
          </cell>
          <cell r="AE6" t="str">
            <v>Vinhuset AS - Oslo</v>
          </cell>
          <cell r="AF6">
            <v>6</v>
          </cell>
        </row>
        <row r="7">
          <cell r="A7">
            <v>7433802</v>
          </cell>
          <cell r="B7" t="str">
            <v>Capovilla Distillato di Pere Williams</v>
          </cell>
          <cell r="C7">
            <v>45253</v>
          </cell>
          <cell r="D7" t="str">
            <v>Spesialutvalg</v>
          </cell>
          <cell r="E7">
            <v>45201</v>
          </cell>
          <cell r="F7">
            <v>2958465</v>
          </cell>
          <cell r="H7" t="str">
            <v>Fruktbrennevin</v>
          </cell>
          <cell r="I7" t="str">
            <v>Italia</v>
          </cell>
          <cell r="J7" t="str">
            <v>Veneto</v>
          </cell>
          <cell r="K7" t="str">
            <v>Øvrige</v>
          </cell>
          <cell r="M7" t="str">
            <v>Capovilla</v>
          </cell>
          <cell r="N7" t="str">
            <v>Blank.</v>
          </cell>
          <cell r="X7">
            <v>41</v>
          </cell>
          <cell r="Y7">
            <v>0.5</v>
          </cell>
          <cell r="Z7">
            <v>45201</v>
          </cell>
          <cell r="AA7">
            <v>2958465</v>
          </cell>
          <cell r="AB7">
            <v>1020.7</v>
          </cell>
          <cell r="AC7">
            <v>2041.4</v>
          </cell>
          <cell r="AD7" t="str">
            <v>Grappolo AS</v>
          </cell>
          <cell r="AE7" t="str">
            <v>Vinhuset AS - Oslo</v>
          </cell>
          <cell r="AF7">
            <v>6</v>
          </cell>
        </row>
        <row r="8">
          <cell r="A8">
            <v>8123702</v>
          </cell>
          <cell r="B8" t="str">
            <v>Capovilla Grappa di Nebbiolo</v>
          </cell>
          <cell r="C8">
            <v>45253</v>
          </cell>
          <cell r="D8" t="str">
            <v>Spesialutvalg</v>
          </cell>
          <cell r="E8">
            <v>45201</v>
          </cell>
          <cell r="F8">
            <v>2958465</v>
          </cell>
          <cell r="H8" t="str">
            <v>Druebrennevin</v>
          </cell>
          <cell r="I8" t="str">
            <v>Italia</v>
          </cell>
          <cell r="J8" t="str">
            <v>Piemonte</v>
          </cell>
          <cell r="K8" t="str">
            <v>Barolo</v>
          </cell>
          <cell r="M8" t="str">
            <v>Capovilla</v>
          </cell>
          <cell r="X8">
            <v>44</v>
          </cell>
          <cell r="Y8">
            <v>0.5</v>
          </cell>
          <cell r="Z8">
            <v>45201</v>
          </cell>
          <cell r="AA8">
            <v>2958465</v>
          </cell>
          <cell r="AB8">
            <v>867</v>
          </cell>
          <cell r="AC8">
            <v>1734</v>
          </cell>
          <cell r="AD8" t="str">
            <v>Grappolo AS</v>
          </cell>
          <cell r="AE8" t="str">
            <v>Vinhuset AS - Oslo</v>
          </cell>
          <cell r="AF8">
            <v>6</v>
          </cell>
        </row>
        <row r="9">
          <cell r="A9">
            <v>8299901</v>
          </cell>
          <cell r="B9" t="str">
            <v>Old Pulteney 25 YO</v>
          </cell>
          <cell r="C9">
            <v>44455</v>
          </cell>
          <cell r="D9" t="str">
            <v>Spesialutvalg</v>
          </cell>
          <cell r="E9">
            <v>45104</v>
          </cell>
          <cell r="F9">
            <v>2958465</v>
          </cell>
          <cell r="H9" t="str">
            <v>Whisky</v>
          </cell>
          <cell r="I9" t="str">
            <v>Skottland</v>
          </cell>
          <cell r="J9" t="str">
            <v>Highland</v>
          </cell>
          <cell r="K9" t="str">
            <v>Øvrige</v>
          </cell>
          <cell r="M9" t="str">
            <v>Pulteney Dist.</v>
          </cell>
          <cell r="N9" t="str">
            <v>Dyp ravgul.</v>
          </cell>
          <cell r="O9" t="str">
            <v>Appelsinskall og bakte epler.</v>
          </cell>
          <cell r="P9" t="str">
            <v>Sitrus og kokosnøtt. Lang, krydret ettersmak med hint av fruktkake og toast.</v>
          </cell>
          <cell r="X9">
            <v>46</v>
          </cell>
          <cell r="Y9">
            <v>0.7</v>
          </cell>
          <cell r="Z9">
            <v>45104</v>
          </cell>
          <cell r="AA9">
            <v>2958465</v>
          </cell>
          <cell r="AB9">
            <v>4799.8999999999996</v>
          </cell>
          <cell r="AC9">
            <v>6857</v>
          </cell>
          <cell r="AD9" t="str">
            <v>Engelstad Spirits AS</v>
          </cell>
          <cell r="AE9" t="str">
            <v>Cuveco AS</v>
          </cell>
          <cell r="AF9">
            <v>3</v>
          </cell>
        </row>
        <row r="10">
          <cell r="A10">
            <v>10192702</v>
          </cell>
          <cell r="B10" t="str">
            <v>Capovilla Distillato di Ciliegie Duroni</v>
          </cell>
          <cell r="C10">
            <v>45253</v>
          </cell>
          <cell r="D10" t="str">
            <v>Spesialutvalg</v>
          </cell>
          <cell r="E10">
            <v>45201</v>
          </cell>
          <cell r="F10">
            <v>2958465</v>
          </cell>
          <cell r="G10" t="str">
            <v>B</v>
          </cell>
          <cell r="H10" t="str">
            <v>Fruktbrennevin</v>
          </cell>
          <cell r="I10" t="str">
            <v>Italia</v>
          </cell>
          <cell r="J10" t="str">
            <v>Veneto</v>
          </cell>
          <cell r="K10" t="str">
            <v>Øvrige</v>
          </cell>
          <cell r="M10" t="str">
            <v>Capovilla</v>
          </cell>
          <cell r="X10">
            <v>41</v>
          </cell>
          <cell r="Y10">
            <v>0.5</v>
          </cell>
          <cell r="Z10">
            <v>45201</v>
          </cell>
          <cell r="AA10">
            <v>2958465</v>
          </cell>
          <cell r="AB10">
            <v>1103.7</v>
          </cell>
          <cell r="AC10">
            <v>2207.4</v>
          </cell>
          <cell r="AD10" t="str">
            <v>Grappolo AS</v>
          </cell>
          <cell r="AE10" t="str">
            <v>Vinhuset AS - Oslo</v>
          </cell>
          <cell r="AF10">
            <v>6</v>
          </cell>
        </row>
        <row r="11">
          <cell r="A11">
            <v>11403501</v>
          </cell>
          <cell r="B11" t="str">
            <v>The Glenlivet 17YO Single Malt Single Cask Edition</v>
          </cell>
          <cell r="C11">
            <v>45253</v>
          </cell>
          <cell r="D11" t="str">
            <v>Spesialutvalg</v>
          </cell>
          <cell r="E11">
            <v>45201</v>
          </cell>
          <cell r="F11">
            <v>2958465</v>
          </cell>
          <cell r="G11" t="str">
            <v>B</v>
          </cell>
          <cell r="H11" t="str">
            <v>Whisky</v>
          </cell>
          <cell r="I11" t="str">
            <v>Skottland</v>
          </cell>
          <cell r="J11" t="str">
            <v>Speyside</v>
          </cell>
          <cell r="M11" t="str">
            <v>Glenlivet Dist.</v>
          </cell>
          <cell r="X11">
            <v>55.4</v>
          </cell>
          <cell r="Y11">
            <v>0.7</v>
          </cell>
          <cell r="Z11">
            <v>45201</v>
          </cell>
          <cell r="AA11">
            <v>2958465</v>
          </cell>
          <cell r="AB11">
            <v>1899</v>
          </cell>
          <cell r="AC11">
            <v>2712.86</v>
          </cell>
          <cell r="AD11" t="str">
            <v>Pernod Ricard Norway AS</v>
          </cell>
          <cell r="AE11" t="str">
            <v>Skanlog AS</v>
          </cell>
          <cell r="AF11">
            <v>3</v>
          </cell>
        </row>
        <row r="12">
          <cell r="A12">
            <v>11403601</v>
          </cell>
          <cell r="B12" t="str">
            <v>Craigellachie 17 YO</v>
          </cell>
          <cell r="C12">
            <v>45253</v>
          </cell>
          <cell r="D12" t="str">
            <v>Spesialutvalg</v>
          </cell>
          <cell r="E12">
            <v>45215</v>
          </cell>
          <cell r="F12">
            <v>2958465</v>
          </cell>
          <cell r="G12" t="str">
            <v>B</v>
          </cell>
          <cell r="H12" t="str">
            <v>Whisky</v>
          </cell>
          <cell r="I12" t="str">
            <v>Skottland</v>
          </cell>
          <cell r="J12" t="str">
            <v>Speyside</v>
          </cell>
          <cell r="M12" t="str">
            <v>Craigellachie</v>
          </cell>
          <cell r="X12">
            <v>46</v>
          </cell>
          <cell r="Y12">
            <v>0.7</v>
          </cell>
          <cell r="Z12">
            <v>45215</v>
          </cell>
          <cell r="AA12">
            <v>2958465</v>
          </cell>
          <cell r="AB12">
            <v>1299.9000000000001</v>
          </cell>
          <cell r="AC12">
            <v>1857</v>
          </cell>
          <cell r="AD12" t="str">
            <v>Bacardi Norge AS</v>
          </cell>
          <cell r="AE12" t="str">
            <v>Vectura AS</v>
          </cell>
          <cell r="AF12">
            <v>6</v>
          </cell>
        </row>
        <row r="13">
          <cell r="A13">
            <v>12788001</v>
          </cell>
          <cell r="B13" t="str">
            <v>The Glenlivet 21 YO Triple Cask</v>
          </cell>
          <cell r="C13">
            <v>44573</v>
          </cell>
          <cell r="D13" t="str">
            <v>Spesialutvalg</v>
          </cell>
          <cell r="E13">
            <v>45201</v>
          </cell>
          <cell r="F13">
            <v>2958465</v>
          </cell>
          <cell r="H13" t="str">
            <v>Whisky</v>
          </cell>
          <cell r="I13" t="str">
            <v>Skottland</v>
          </cell>
          <cell r="J13" t="str">
            <v>Speyside</v>
          </cell>
          <cell r="M13" t="str">
            <v>Glenlivet Dist.</v>
          </cell>
          <cell r="N13" t="str">
            <v>Rav, kobberskimmer.</v>
          </cell>
          <cell r="O13" t="str">
            <v>Aroma av tørket frukt, lett preg av sherry.</v>
          </cell>
          <cell r="P13" t="str">
            <v>Kanel og ingefær, innslag av valnøtt og mørk sjokolade.</v>
          </cell>
          <cell r="X13">
            <v>43</v>
          </cell>
          <cell r="Y13">
            <v>0.7</v>
          </cell>
          <cell r="Z13">
            <v>45201</v>
          </cell>
          <cell r="AA13">
            <v>2958465</v>
          </cell>
          <cell r="AB13">
            <v>1962.8</v>
          </cell>
          <cell r="AC13">
            <v>2804</v>
          </cell>
          <cell r="AD13" t="str">
            <v>Pernod Ricard Norway AS</v>
          </cell>
          <cell r="AE13" t="str">
            <v>Skanlog AS</v>
          </cell>
          <cell r="AF13">
            <v>3</v>
          </cell>
        </row>
        <row r="14">
          <cell r="A14">
            <v>13804501</v>
          </cell>
          <cell r="B14" t="str">
            <v>Four Roses Small Batch Limited Edition 2023</v>
          </cell>
          <cell r="C14">
            <v>45001</v>
          </cell>
          <cell r="D14" t="str">
            <v>Spesialutvalg</v>
          </cell>
          <cell r="E14">
            <v>45253</v>
          </cell>
          <cell r="F14">
            <v>2958465</v>
          </cell>
          <cell r="H14" t="str">
            <v>Whisky</v>
          </cell>
          <cell r="I14" t="str">
            <v>USA</v>
          </cell>
          <cell r="J14" t="str">
            <v>Kentucky</v>
          </cell>
          <cell r="K14" t="str">
            <v>Øvrige</v>
          </cell>
          <cell r="M14" t="str">
            <v>Four Roses Dist.</v>
          </cell>
          <cell r="N14" t="str">
            <v>Rav.</v>
          </cell>
          <cell r="O14" t="str">
            <v>Toner av modne bår og rik, varm eik.</v>
          </cell>
          <cell r="P14" t="str">
            <v>Toner av plomme og appelsinskall, krydder. Vaniljekrem og mørk sjokolade i avslutningen.</v>
          </cell>
          <cell r="X14">
            <v>54</v>
          </cell>
          <cell r="Y14">
            <v>0.7</v>
          </cell>
          <cell r="Z14">
            <v>45201</v>
          </cell>
          <cell r="AA14">
            <v>2958465</v>
          </cell>
          <cell r="AB14">
            <v>2201</v>
          </cell>
          <cell r="AC14">
            <v>3144.29</v>
          </cell>
          <cell r="AD14" t="str">
            <v>Pernod Ricard Norway AS</v>
          </cell>
          <cell r="AE14" t="str">
            <v>Skanlog AS</v>
          </cell>
          <cell r="AF14">
            <v>6</v>
          </cell>
        </row>
        <row r="15">
          <cell r="A15">
            <v>14046501</v>
          </cell>
          <cell r="B15" t="str">
            <v>Braes Of Glenlivet 25YO Rare Release</v>
          </cell>
          <cell r="C15">
            <v>45253</v>
          </cell>
          <cell r="D15" t="str">
            <v>Spesialutvalg</v>
          </cell>
          <cell r="E15">
            <v>45201</v>
          </cell>
          <cell r="F15">
            <v>2958465</v>
          </cell>
          <cell r="H15" t="str">
            <v>Whisky</v>
          </cell>
          <cell r="I15" t="str">
            <v>Skottland</v>
          </cell>
          <cell r="J15" t="str">
            <v>Speyside</v>
          </cell>
          <cell r="M15" t="str">
            <v>Chivas Brothers</v>
          </cell>
          <cell r="X15">
            <v>48</v>
          </cell>
          <cell r="Y15">
            <v>0.7</v>
          </cell>
          <cell r="Z15">
            <v>45201</v>
          </cell>
          <cell r="AA15">
            <v>2958465</v>
          </cell>
          <cell r="AB15">
            <v>3999</v>
          </cell>
          <cell r="AC15">
            <v>5712.86</v>
          </cell>
          <cell r="AD15" t="str">
            <v>Pernod Ricard Norway AS</v>
          </cell>
          <cell r="AE15" t="str">
            <v>Skanlog AS</v>
          </cell>
          <cell r="AF15">
            <v>6</v>
          </cell>
        </row>
        <row r="16">
          <cell r="A16">
            <v>14978401</v>
          </cell>
          <cell r="B16" t="str">
            <v>Adelphi Paul Launois</v>
          </cell>
          <cell r="C16">
            <v>45253</v>
          </cell>
          <cell r="D16" t="str">
            <v>Spesialutvalg</v>
          </cell>
          <cell r="E16">
            <v>45217</v>
          </cell>
          <cell r="F16">
            <v>2958465</v>
          </cell>
          <cell r="H16" t="str">
            <v>Whisky</v>
          </cell>
          <cell r="I16" t="str">
            <v>Skottland</v>
          </cell>
          <cell r="J16" t="str">
            <v>Highland</v>
          </cell>
          <cell r="K16" t="str">
            <v>Øvrige</v>
          </cell>
          <cell r="M16" t="str">
            <v>Adelphi Dist.</v>
          </cell>
          <cell r="X16">
            <v>57.1</v>
          </cell>
          <cell r="Y16">
            <v>0.7</v>
          </cell>
          <cell r="Z16">
            <v>45217</v>
          </cell>
          <cell r="AA16">
            <v>2958465</v>
          </cell>
          <cell r="AB16">
            <v>918.9</v>
          </cell>
          <cell r="AC16">
            <v>1312.71</v>
          </cell>
          <cell r="AD16" t="str">
            <v>Malt Norge AS</v>
          </cell>
          <cell r="AE16" t="str">
            <v>Cuveco AS</v>
          </cell>
          <cell r="AF16">
            <v>6</v>
          </cell>
        </row>
        <row r="17">
          <cell r="A17">
            <v>15927101</v>
          </cell>
          <cell r="B17" t="str">
            <v>Speyburn 18 YO</v>
          </cell>
          <cell r="C17">
            <v>45183</v>
          </cell>
          <cell r="D17" t="str">
            <v>Spesialutvalg</v>
          </cell>
          <cell r="E17">
            <v>45104</v>
          </cell>
          <cell r="F17">
            <v>2958465</v>
          </cell>
          <cell r="H17" t="str">
            <v>Whisky</v>
          </cell>
          <cell r="I17" t="str">
            <v>Skottland</v>
          </cell>
          <cell r="J17" t="str">
            <v>Speyside</v>
          </cell>
          <cell r="M17" t="str">
            <v>Speyburn Distillery</v>
          </cell>
          <cell r="X17">
            <v>46</v>
          </cell>
          <cell r="Y17">
            <v>0.7</v>
          </cell>
          <cell r="Z17">
            <v>45104</v>
          </cell>
          <cell r="AA17">
            <v>2958465</v>
          </cell>
          <cell r="AB17">
            <v>1399.9</v>
          </cell>
          <cell r="AC17">
            <v>1999.86</v>
          </cell>
          <cell r="AD17" t="str">
            <v>Engelstad Spirits AS</v>
          </cell>
          <cell r="AE17" t="str">
            <v>Cuveco AS</v>
          </cell>
          <cell r="AF17">
            <v>6</v>
          </cell>
        </row>
        <row r="18">
          <cell r="A18">
            <v>15927201</v>
          </cell>
          <cell r="B18" t="str">
            <v>Christian Drouin Les Millesime Calvados Pays d'Auge</v>
          </cell>
          <cell r="C18">
            <v>45183</v>
          </cell>
          <cell r="D18" t="str">
            <v>Spesialutvalg</v>
          </cell>
          <cell r="E18">
            <v>45104</v>
          </cell>
          <cell r="F18">
            <v>2958465</v>
          </cell>
          <cell r="H18" t="str">
            <v>Fruktbrennevin</v>
          </cell>
          <cell r="I18" t="str">
            <v>Frankrike</v>
          </cell>
          <cell r="J18" t="str">
            <v>Calvados</v>
          </cell>
          <cell r="K18" t="str">
            <v>Pays d'Auge</v>
          </cell>
          <cell r="M18" t="str">
            <v>Christian Drouin</v>
          </cell>
          <cell r="X18">
            <v>42</v>
          </cell>
          <cell r="Y18">
            <v>0.7</v>
          </cell>
          <cell r="Z18">
            <v>45104</v>
          </cell>
          <cell r="AA18">
            <v>2958465</v>
          </cell>
          <cell r="AB18">
            <v>2199</v>
          </cell>
          <cell r="AC18">
            <v>3141.43</v>
          </cell>
          <cell r="AD18" t="str">
            <v>Engelstad Spirits AS</v>
          </cell>
          <cell r="AE18" t="str">
            <v>Cuveco AS</v>
          </cell>
          <cell r="AF18">
            <v>6</v>
          </cell>
        </row>
        <row r="19">
          <cell r="A19">
            <v>15934501</v>
          </cell>
          <cell r="B19" t="str">
            <v>The Macallan Destill Your World Mexico City</v>
          </cell>
          <cell r="C19">
            <v>45183</v>
          </cell>
          <cell r="D19" t="str">
            <v>Spesialutvalg</v>
          </cell>
          <cell r="E19">
            <v>45105</v>
          </cell>
          <cell r="F19">
            <v>2958465</v>
          </cell>
          <cell r="H19" t="str">
            <v>Whisky</v>
          </cell>
          <cell r="I19" t="str">
            <v>Skottland</v>
          </cell>
          <cell r="J19" t="str">
            <v>Speyside</v>
          </cell>
          <cell r="M19" t="str">
            <v>Macallan Dist.</v>
          </cell>
          <cell r="X19">
            <v>48</v>
          </cell>
          <cell r="Y19">
            <v>0.7</v>
          </cell>
          <cell r="Z19">
            <v>45105</v>
          </cell>
          <cell r="AA19">
            <v>2958465</v>
          </cell>
          <cell r="AB19">
            <v>43674.9</v>
          </cell>
          <cell r="AC19">
            <v>62392.71</v>
          </cell>
          <cell r="AD19" t="str">
            <v>Edrington Norway AS</v>
          </cell>
          <cell r="AE19" t="str">
            <v>Vectura AS</v>
          </cell>
          <cell r="AF19">
            <v>1</v>
          </cell>
        </row>
        <row r="20">
          <cell r="A20">
            <v>16342401</v>
          </cell>
          <cell r="B20" t="str">
            <v>Casamigo Reposado</v>
          </cell>
          <cell r="C20">
            <v>45183</v>
          </cell>
          <cell r="D20" t="str">
            <v>Spesialutvalg</v>
          </cell>
          <cell r="E20">
            <v>45132</v>
          </cell>
          <cell r="F20">
            <v>2958465</v>
          </cell>
          <cell r="H20" t="str">
            <v>Fruktbrennevin</v>
          </cell>
          <cell r="I20" t="str">
            <v>Mexico</v>
          </cell>
          <cell r="J20" t="str">
            <v>Øvrige</v>
          </cell>
          <cell r="K20" t="str">
            <v>Øvrige</v>
          </cell>
          <cell r="M20" t="str">
            <v>Diageo</v>
          </cell>
          <cell r="X20">
            <v>40</v>
          </cell>
          <cell r="Y20">
            <v>0.7</v>
          </cell>
          <cell r="Z20">
            <v>45153</v>
          </cell>
          <cell r="AA20">
            <v>2958465</v>
          </cell>
          <cell r="AB20">
            <v>719.9</v>
          </cell>
          <cell r="AC20">
            <v>1028.43</v>
          </cell>
          <cell r="AD20" t="str">
            <v>Engelstad Spirits AS</v>
          </cell>
          <cell r="AE20" t="str">
            <v>Cuveco AS</v>
          </cell>
          <cell r="AF20">
            <v>6</v>
          </cell>
        </row>
        <row r="21">
          <cell r="A21">
            <v>16342501</v>
          </cell>
          <cell r="B21" t="str">
            <v>Casamigo Blanco</v>
          </cell>
          <cell r="C21">
            <v>45183</v>
          </cell>
          <cell r="D21" t="str">
            <v>Spesialutvalg</v>
          </cell>
          <cell r="E21">
            <v>45132</v>
          </cell>
          <cell r="F21">
            <v>2958465</v>
          </cell>
          <cell r="H21" t="str">
            <v>Fruktbrennevin</v>
          </cell>
          <cell r="I21" t="str">
            <v>Mexico</v>
          </cell>
          <cell r="J21" t="str">
            <v>Øvrige</v>
          </cell>
          <cell r="K21" t="str">
            <v>Øvrige</v>
          </cell>
          <cell r="M21" t="str">
            <v>Diageo</v>
          </cell>
          <cell r="X21">
            <v>40</v>
          </cell>
          <cell r="Y21">
            <v>0.7</v>
          </cell>
          <cell r="Z21">
            <v>45153</v>
          </cell>
          <cell r="AA21">
            <v>2958465</v>
          </cell>
          <cell r="AB21">
            <v>659.9</v>
          </cell>
          <cell r="AC21">
            <v>942.71</v>
          </cell>
          <cell r="AD21" t="str">
            <v>Engelstad Spirits AS</v>
          </cell>
          <cell r="AE21" t="str">
            <v>Cuveco AS</v>
          </cell>
          <cell r="AF21">
            <v>6</v>
          </cell>
        </row>
        <row r="22">
          <cell r="A22">
            <v>16583001</v>
          </cell>
          <cell r="B22" t="str">
            <v>Glenmorangie A Tale of Tokyo</v>
          </cell>
          <cell r="C22">
            <v>45253</v>
          </cell>
          <cell r="D22" t="str">
            <v>Spesialutvalg</v>
          </cell>
          <cell r="E22">
            <v>45201</v>
          </cell>
          <cell r="F22">
            <v>2958465</v>
          </cell>
          <cell r="H22" t="str">
            <v>Whisky</v>
          </cell>
          <cell r="I22" t="str">
            <v>Skottland</v>
          </cell>
          <cell r="J22" t="str">
            <v>Highland</v>
          </cell>
          <cell r="K22" t="str">
            <v>Øvrige</v>
          </cell>
          <cell r="M22" t="str">
            <v>Glenmorangie Dist.</v>
          </cell>
          <cell r="X22">
            <v>46</v>
          </cell>
          <cell r="Y22">
            <v>0.7</v>
          </cell>
          <cell r="Z22">
            <v>45201</v>
          </cell>
          <cell r="AA22">
            <v>2958465</v>
          </cell>
          <cell r="AB22">
            <v>1199.9000000000001</v>
          </cell>
          <cell r="AC22">
            <v>1714.14</v>
          </cell>
          <cell r="AD22" t="str">
            <v>Moët Hennessy Norge AS</v>
          </cell>
          <cell r="AE22" t="str">
            <v>Skanlog AS</v>
          </cell>
          <cell r="AF22">
            <v>6</v>
          </cell>
        </row>
        <row r="23">
          <cell r="A23">
            <v>16583101</v>
          </cell>
          <cell r="B23" t="str">
            <v>Ardbeg Anthology</v>
          </cell>
          <cell r="C23">
            <v>45253</v>
          </cell>
          <cell r="D23" t="str">
            <v>Spesialutvalg</v>
          </cell>
          <cell r="E23">
            <v>45201</v>
          </cell>
          <cell r="F23">
            <v>2958465</v>
          </cell>
          <cell r="H23" t="str">
            <v>Whisky</v>
          </cell>
          <cell r="I23" t="str">
            <v>Skottland</v>
          </cell>
          <cell r="J23" t="str">
            <v>Islay</v>
          </cell>
          <cell r="M23" t="str">
            <v>Ardbeg Dist.</v>
          </cell>
          <cell r="X23">
            <v>46</v>
          </cell>
          <cell r="Y23">
            <v>0.7</v>
          </cell>
          <cell r="Z23">
            <v>45201</v>
          </cell>
          <cell r="AA23">
            <v>2958465</v>
          </cell>
          <cell r="AB23">
            <v>1599.9</v>
          </cell>
          <cell r="AC23">
            <v>2285.5700000000002</v>
          </cell>
          <cell r="AD23" t="str">
            <v>Moët Hennessy Norge AS</v>
          </cell>
          <cell r="AE23" t="str">
            <v>Skanlog AS</v>
          </cell>
          <cell r="AF23">
            <v>6</v>
          </cell>
        </row>
        <row r="24">
          <cell r="A24">
            <v>16583201</v>
          </cell>
          <cell r="B24" t="str">
            <v>Fettercairn 16YO 2023 Edition</v>
          </cell>
          <cell r="C24">
            <v>45253</v>
          </cell>
          <cell r="D24" t="str">
            <v>Spesialutvalg</v>
          </cell>
          <cell r="E24">
            <v>45201</v>
          </cell>
          <cell r="F24">
            <v>2958465</v>
          </cell>
          <cell r="H24" t="str">
            <v>Whisky</v>
          </cell>
          <cell r="I24" t="str">
            <v>Skottland</v>
          </cell>
          <cell r="J24" t="str">
            <v>Speyside</v>
          </cell>
          <cell r="M24" t="str">
            <v>The Fettercairn Distillery Company</v>
          </cell>
          <cell r="X24">
            <v>46.4</v>
          </cell>
          <cell r="Y24">
            <v>0.7</v>
          </cell>
          <cell r="Z24">
            <v>45201</v>
          </cell>
          <cell r="AA24">
            <v>2958465</v>
          </cell>
          <cell r="AB24">
            <v>1319.7</v>
          </cell>
          <cell r="AC24">
            <v>1885.29</v>
          </cell>
          <cell r="AD24" t="str">
            <v>Interbrands Spirits Norway AS</v>
          </cell>
          <cell r="AE24" t="str">
            <v>Cuveco AS</v>
          </cell>
          <cell r="AF24">
            <v>6</v>
          </cell>
        </row>
        <row r="25">
          <cell r="A25">
            <v>16583301</v>
          </cell>
          <cell r="B25" t="str">
            <v>Avión Reserva 44 Extra Añejo Tequila</v>
          </cell>
          <cell r="C25">
            <v>45253</v>
          </cell>
          <cell r="D25" t="str">
            <v>Spesialutvalg</v>
          </cell>
          <cell r="E25">
            <v>45201</v>
          </cell>
          <cell r="F25">
            <v>2958465</v>
          </cell>
          <cell r="H25" t="str">
            <v>Fruktbrennevin</v>
          </cell>
          <cell r="I25" t="str">
            <v>Mexico</v>
          </cell>
          <cell r="J25" t="str">
            <v>Øvrige</v>
          </cell>
          <cell r="K25" t="str">
            <v>Øvrige</v>
          </cell>
          <cell r="M25" t="str">
            <v>Pernod Ricard Mexico</v>
          </cell>
          <cell r="X25">
            <v>40</v>
          </cell>
          <cell r="Y25">
            <v>0.7</v>
          </cell>
          <cell r="Z25">
            <v>45201</v>
          </cell>
          <cell r="AA25">
            <v>2958465</v>
          </cell>
          <cell r="AB25">
            <v>1299</v>
          </cell>
          <cell r="AC25">
            <v>1855.71</v>
          </cell>
          <cell r="AD25" t="str">
            <v>Pernod Ricard Norway AS</v>
          </cell>
          <cell r="AE25" t="str">
            <v>Skanlog AS</v>
          </cell>
          <cell r="AF25">
            <v>4</v>
          </cell>
        </row>
        <row r="26">
          <cell r="A26">
            <v>16583401</v>
          </cell>
          <cell r="B26" t="str">
            <v>Havana Club Don Navarro</v>
          </cell>
          <cell r="C26">
            <v>45253</v>
          </cell>
          <cell r="D26" t="str">
            <v>Spesialutvalg</v>
          </cell>
          <cell r="E26">
            <v>45201</v>
          </cell>
          <cell r="F26">
            <v>2958465</v>
          </cell>
          <cell r="H26" t="str">
            <v>Rom</v>
          </cell>
          <cell r="I26" t="str">
            <v>Cuba</v>
          </cell>
          <cell r="J26" t="str">
            <v>Øvrige</v>
          </cell>
          <cell r="M26" t="str">
            <v>Havana Club</v>
          </cell>
          <cell r="X26">
            <v>40</v>
          </cell>
          <cell r="Y26">
            <v>0.7</v>
          </cell>
          <cell r="Z26">
            <v>45201</v>
          </cell>
          <cell r="AA26">
            <v>2958465</v>
          </cell>
          <cell r="AB26">
            <v>1599</v>
          </cell>
          <cell r="AC26">
            <v>2284.29</v>
          </cell>
          <cell r="AD26" t="str">
            <v>Pernod Ricard Norway AS</v>
          </cell>
          <cell r="AE26" t="str">
            <v>Skanlog AS</v>
          </cell>
          <cell r="AF26">
            <v>6</v>
          </cell>
        </row>
        <row r="27">
          <cell r="A27">
            <v>16583501</v>
          </cell>
          <cell r="B27" t="str">
            <v>Benriach Malting Season Batch 3</v>
          </cell>
          <cell r="C27">
            <v>45253</v>
          </cell>
          <cell r="D27" t="str">
            <v>Spesialutvalg</v>
          </cell>
          <cell r="E27">
            <v>45201</v>
          </cell>
          <cell r="F27">
            <v>2958465</v>
          </cell>
          <cell r="H27" t="str">
            <v>Whisky</v>
          </cell>
          <cell r="I27" t="str">
            <v>Skottland</v>
          </cell>
          <cell r="J27" t="str">
            <v>Speyside</v>
          </cell>
          <cell r="M27" t="str">
            <v>The BenRiach Distillery Co Ltd</v>
          </cell>
          <cell r="X27">
            <v>48.7</v>
          </cell>
          <cell r="Y27">
            <v>0.7</v>
          </cell>
          <cell r="Z27">
            <v>45201</v>
          </cell>
          <cell r="AA27">
            <v>2958465</v>
          </cell>
          <cell r="AB27">
            <v>1506.6</v>
          </cell>
          <cell r="AC27">
            <v>2152.29</v>
          </cell>
          <cell r="AD27" t="str">
            <v>Interbev AS</v>
          </cell>
          <cell r="AE27" t="str">
            <v>Vectura AS</v>
          </cell>
          <cell r="AF27">
            <v>6</v>
          </cell>
        </row>
        <row r="28">
          <cell r="A28">
            <v>16583601</v>
          </cell>
          <cell r="B28" t="str">
            <v>Benriach 24YO 1998 Cask 5944</v>
          </cell>
          <cell r="C28">
            <v>45253</v>
          </cell>
          <cell r="D28" t="str">
            <v>Spesialutvalg</v>
          </cell>
          <cell r="E28">
            <v>45201</v>
          </cell>
          <cell r="F28">
            <v>2958465</v>
          </cell>
          <cell r="H28" t="str">
            <v>Whisky</v>
          </cell>
          <cell r="I28" t="str">
            <v>Skottland</v>
          </cell>
          <cell r="J28" t="str">
            <v>Speyside</v>
          </cell>
          <cell r="M28" t="str">
            <v>The BenRiach Distillery Co Ltd</v>
          </cell>
          <cell r="X28">
            <v>53.9</v>
          </cell>
          <cell r="Y28">
            <v>0.7</v>
          </cell>
          <cell r="Z28">
            <v>45201</v>
          </cell>
          <cell r="AA28">
            <v>2958465</v>
          </cell>
          <cell r="AB28">
            <v>4809.8999999999996</v>
          </cell>
          <cell r="AC28">
            <v>6871.29</v>
          </cell>
          <cell r="AD28" t="str">
            <v>Interbev AS</v>
          </cell>
          <cell r="AE28" t="str">
            <v>Vectura AS</v>
          </cell>
          <cell r="AF28">
            <v>6</v>
          </cell>
        </row>
        <row r="29">
          <cell r="A29">
            <v>16583701</v>
          </cell>
          <cell r="B29" t="str">
            <v>Benriach 28YO 1994 Cask 2061</v>
          </cell>
          <cell r="C29">
            <v>45253</v>
          </cell>
          <cell r="D29" t="str">
            <v>Spesialutvalg</v>
          </cell>
          <cell r="E29">
            <v>45201</v>
          </cell>
          <cell r="F29">
            <v>2958465</v>
          </cell>
          <cell r="H29" t="str">
            <v>Whisky</v>
          </cell>
          <cell r="I29" t="str">
            <v>Skottland</v>
          </cell>
          <cell r="J29" t="str">
            <v>Speyside</v>
          </cell>
          <cell r="M29" t="str">
            <v>The BenRiach Distillery Co Ltd</v>
          </cell>
          <cell r="X29">
            <v>52.6</v>
          </cell>
          <cell r="Y29">
            <v>0.7</v>
          </cell>
          <cell r="Z29">
            <v>45201</v>
          </cell>
          <cell r="AA29">
            <v>2958465</v>
          </cell>
          <cell r="AB29">
            <v>8274.9</v>
          </cell>
          <cell r="AC29">
            <v>11821.29</v>
          </cell>
          <cell r="AD29" t="str">
            <v>Interbev AS</v>
          </cell>
          <cell r="AE29" t="str">
            <v>Vectura AS</v>
          </cell>
          <cell r="AF29">
            <v>6</v>
          </cell>
        </row>
        <row r="30">
          <cell r="A30">
            <v>16590501</v>
          </cell>
          <cell r="B30" t="str">
            <v>Brugal Coleccion Visionaria</v>
          </cell>
          <cell r="C30">
            <v>45253</v>
          </cell>
          <cell r="D30" t="str">
            <v>Spesialutvalg</v>
          </cell>
          <cell r="E30">
            <v>45202</v>
          </cell>
          <cell r="F30">
            <v>2958465</v>
          </cell>
          <cell r="H30" t="str">
            <v>Rom</v>
          </cell>
          <cell r="I30" t="str">
            <v>Dominik. rep.</v>
          </cell>
          <cell r="J30" t="str">
            <v>Øvrige</v>
          </cell>
          <cell r="M30" t="str">
            <v>Brugal &amp; Co. C por A.</v>
          </cell>
          <cell r="X30">
            <v>45</v>
          </cell>
          <cell r="Y30">
            <v>0.7</v>
          </cell>
          <cell r="Z30">
            <v>45202</v>
          </cell>
          <cell r="AA30">
            <v>2958465</v>
          </cell>
          <cell r="AB30">
            <v>898.6</v>
          </cell>
          <cell r="AC30">
            <v>1283.71</v>
          </cell>
          <cell r="AD30" t="str">
            <v>Edrington Norway AS</v>
          </cell>
          <cell r="AE30" t="str">
            <v>Vectura AS</v>
          </cell>
          <cell r="AF30">
            <v>6</v>
          </cell>
        </row>
        <row r="31">
          <cell r="A31">
            <v>16591901</v>
          </cell>
          <cell r="B31" t="str">
            <v>Willett Family Estate Bottled Single Barrel Rye No.3093 6 years</v>
          </cell>
          <cell r="C31">
            <v>45253</v>
          </cell>
          <cell r="D31" t="str">
            <v>Spesialutvalg</v>
          </cell>
          <cell r="E31">
            <v>45204</v>
          </cell>
          <cell r="F31">
            <v>2958465</v>
          </cell>
          <cell r="H31" t="str">
            <v>Whisky</v>
          </cell>
          <cell r="I31" t="str">
            <v>USA</v>
          </cell>
          <cell r="J31" t="str">
            <v>Kentucky</v>
          </cell>
          <cell r="K31" t="str">
            <v>Øvrige</v>
          </cell>
          <cell r="M31" t="str">
            <v>Willett Distillery</v>
          </cell>
          <cell r="X31">
            <v>52.3</v>
          </cell>
          <cell r="Y31">
            <v>0.7</v>
          </cell>
          <cell r="Z31">
            <v>45204</v>
          </cell>
          <cell r="AA31">
            <v>2958465</v>
          </cell>
          <cell r="AB31">
            <v>1899</v>
          </cell>
          <cell r="AC31">
            <v>2712.86</v>
          </cell>
          <cell r="AD31" t="str">
            <v>K. G. Puntervold AS</v>
          </cell>
          <cell r="AE31" t="str">
            <v>Skanlog AS</v>
          </cell>
          <cell r="AF31">
            <v>6</v>
          </cell>
        </row>
        <row r="32">
          <cell r="A32">
            <v>16592001</v>
          </cell>
          <cell r="B32" t="str">
            <v>Willett Family Estate Bottled Single Barrel Bourbon no.2233 6 years</v>
          </cell>
          <cell r="C32">
            <v>45253</v>
          </cell>
          <cell r="D32" t="str">
            <v>Spesialutvalg</v>
          </cell>
          <cell r="E32">
            <v>45204</v>
          </cell>
          <cell r="F32">
            <v>2958465</v>
          </cell>
          <cell r="H32" t="str">
            <v>Whisky</v>
          </cell>
          <cell r="I32" t="str">
            <v>USA</v>
          </cell>
          <cell r="J32" t="str">
            <v>Kentucky</v>
          </cell>
          <cell r="K32" t="str">
            <v>Øvrige</v>
          </cell>
          <cell r="M32" t="str">
            <v>Willett Distillery</v>
          </cell>
          <cell r="X32">
            <v>59.3</v>
          </cell>
          <cell r="Y32">
            <v>0.7</v>
          </cell>
          <cell r="Z32">
            <v>45204</v>
          </cell>
          <cell r="AA32">
            <v>2958465</v>
          </cell>
          <cell r="AB32">
            <v>1949</v>
          </cell>
          <cell r="AC32">
            <v>2784.29</v>
          </cell>
          <cell r="AD32" t="str">
            <v>K. G. Puntervold AS</v>
          </cell>
          <cell r="AE32" t="str">
            <v>Skanlog AS</v>
          </cell>
          <cell r="AF32">
            <v>6</v>
          </cell>
        </row>
        <row r="33">
          <cell r="A33">
            <v>16592201</v>
          </cell>
          <cell r="B33" t="str">
            <v>Glenfarclas Family Casks 2008 Cask #262</v>
          </cell>
          <cell r="C33">
            <v>45253</v>
          </cell>
          <cell r="D33" t="str">
            <v>Spesialutvalg</v>
          </cell>
          <cell r="E33">
            <v>45204</v>
          </cell>
          <cell r="F33">
            <v>2958465</v>
          </cell>
          <cell r="H33" t="str">
            <v>Whisky</v>
          </cell>
          <cell r="I33" t="str">
            <v>Skottland</v>
          </cell>
          <cell r="J33" t="str">
            <v>Highland</v>
          </cell>
          <cell r="K33" t="str">
            <v>Øvrige</v>
          </cell>
          <cell r="M33" t="str">
            <v>J&amp;G Grant</v>
          </cell>
          <cell r="X33">
            <v>59.1</v>
          </cell>
          <cell r="Y33">
            <v>0.7</v>
          </cell>
          <cell r="Z33">
            <v>45204</v>
          </cell>
          <cell r="AA33">
            <v>2958465</v>
          </cell>
          <cell r="AB33">
            <v>2590</v>
          </cell>
          <cell r="AC33">
            <v>3700</v>
          </cell>
          <cell r="AD33" t="str">
            <v>Moestue Grape Selections AS</v>
          </cell>
          <cell r="AE33" t="str">
            <v>Skanlog AS</v>
          </cell>
          <cell r="AF33">
            <v>6</v>
          </cell>
        </row>
        <row r="34">
          <cell r="A34">
            <v>16592301</v>
          </cell>
          <cell r="B34" t="str">
            <v>Hazelburn 12 YO Sherry Wood</v>
          </cell>
          <cell r="C34">
            <v>45253</v>
          </cell>
          <cell r="D34" t="str">
            <v>Spesialutvalg</v>
          </cell>
          <cell r="E34">
            <v>45204</v>
          </cell>
          <cell r="F34">
            <v>2958465</v>
          </cell>
          <cell r="H34" t="str">
            <v>Whisky</v>
          </cell>
          <cell r="I34" t="str">
            <v>Skottland</v>
          </cell>
          <cell r="J34" t="str">
            <v>Campbeltown</v>
          </cell>
          <cell r="M34" t="str">
            <v>Springbank Dist.</v>
          </cell>
          <cell r="X34">
            <v>49.9</v>
          </cell>
          <cell r="Y34">
            <v>0.7</v>
          </cell>
          <cell r="Z34">
            <v>45204</v>
          </cell>
          <cell r="AA34">
            <v>2958465</v>
          </cell>
          <cell r="AB34">
            <v>1230</v>
          </cell>
          <cell r="AC34">
            <v>1757.14</v>
          </cell>
          <cell r="AD34" t="str">
            <v>Moestue Grape Selections AS</v>
          </cell>
          <cell r="AE34" t="str">
            <v>Skanlog AS</v>
          </cell>
          <cell r="AF34">
            <v>6</v>
          </cell>
        </row>
        <row r="35">
          <cell r="A35">
            <v>16592401</v>
          </cell>
          <cell r="B35" t="str">
            <v>Springbank 21 YO</v>
          </cell>
          <cell r="C35">
            <v>45253</v>
          </cell>
          <cell r="D35" t="str">
            <v>Spesialutvalg</v>
          </cell>
          <cell r="E35">
            <v>45204</v>
          </cell>
          <cell r="F35">
            <v>2958465</v>
          </cell>
          <cell r="H35" t="str">
            <v>Whisky</v>
          </cell>
          <cell r="I35" t="str">
            <v>Skottland</v>
          </cell>
          <cell r="J35" t="str">
            <v>Campbeltown</v>
          </cell>
          <cell r="M35" t="str">
            <v>Springbank Dist.</v>
          </cell>
          <cell r="X35">
            <v>46</v>
          </cell>
          <cell r="Y35">
            <v>0.7</v>
          </cell>
          <cell r="Z35">
            <v>45204</v>
          </cell>
          <cell r="AA35">
            <v>2958465</v>
          </cell>
          <cell r="AB35">
            <v>3430</v>
          </cell>
          <cell r="AC35">
            <v>4900</v>
          </cell>
          <cell r="AD35" t="str">
            <v>Moestue Grape Selections AS</v>
          </cell>
          <cell r="AE35" t="str">
            <v>Skanlog AS</v>
          </cell>
          <cell r="AF35">
            <v>6</v>
          </cell>
        </row>
        <row r="36">
          <cell r="A36">
            <v>16592501</v>
          </cell>
          <cell r="B36" t="str">
            <v>Delamain Pléiade Grande Champagne Mr. Dauge Testimony</v>
          </cell>
          <cell r="C36">
            <v>45253</v>
          </cell>
          <cell r="D36" t="str">
            <v>Spesialutvalg</v>
          </cell>
          <cell r="E36">
            <v>45204</v>
          </cell>
          <cell r="F36">
            <v>2958465</v>
          </cell>
          <cell r="H36" t="str">
            <v>Druebrennevin</v>
          </cell>
          <cell r="I36" t="str">
            <v>Frankrike</v>
          </cell>
          <cell r="J36" t="str">
            <v>Cognac Brut</v>
          </cell>
          <cell r="K36" t="str">
            <v>Grande Champagne</v>
          </cell>
          <cell r="M36" t="str">
            <v>Delamain</v>
          </cell>
          <cell r="X36">
            <v>46</v>
          </cell>
          <cell r="Y36">
            <v>0.7</v>
          </cell>
          <cell r="Z36">
            <v>45204</v>
          </cell>
          <cell r="AA36">
            <v>2958465</v>
          </cell>
          <cell r="AB36">
            <v>7600</v>
          </cell>
          <cell r="AC36">
            <v>10857.14</v>
          </cell>
          <cell r="AD36" t="str">
            <v>Moestue Grape Selections AS</v>
          </cell>
          <cell r="AE36" t="str">
            <v>Skanlog AS</v>
          </cell>
          <cell r="AF36">
            <v>3</v>
          </cell>
        </row>
        <row r="37">
          <cell r="A37">
            <v>16592601</v>
          </cell>
          <cell r="B37" t="str">
            <v>Kilkerran 16 YO</v>
          </cell>
          <cell r="C37">
            <v>45253</v>
          </cell>
          <cell r="D37" t="str">
            <v>Spesialutvalg</v>
          </cell>
          <cell r="E37">
            <v>45204</v>
          </cell>
          <cell r="F37">
            <v>2958465</v>
          </cell>
          <cell r="H37" t="str">
            <v>Whisky</v>
          </cell>
          <cell r="I37" t="str">
            <v>Skottland</v>
          </cell>
          <cell r="J37" t="str">
            <v>Campbeltown</v>
          </cell>
          <cell r="M37" t="str">
            <v>Glengyle Dist.</v>
          </cell>
          <cell r="X37">
            <v>46</v>
          </cell>
          <cell r="Y37">
            <v>0.7</v>
          </cell>
          <cell r="Z37">
            <v>45204</v>
          </cell>
          <cell r="AA37">
            <v>2958465</v>
          </cell>
          <cell r="AB37">
            <v>1090</v>
          </cell>
          <cell r="AC37">
            <v>1557.14</v>
          </cell>
          <cell r="AD37" t="str">
            <v>Moestue Grape Selections AS</v>
          </cell>
          <cell r="AE37" t="str">
            <v>Skanlog AS</v>
          </cell>
          <cell r="AF37">
            <v>6</v>
          </cell>
        </row>
        <row r="38">
          <cell r="A38">
            <v>16597701</v>
          </cell>
          <cell r="B38" t="str">
            <v>Isle of Raasay Dùn Cana Sherry Quarter Cask Single Malt Whisky</v>
          </cell>
          <cell r="C38">
            <v>45253</v>
          </cell>
          <cell r="D38" t="str">
            <v>Spesialutvalg</v>
          </cell>
          <cell r="E38">
            <v>45208</v>
          </cell>
          <cell r="F38">
            <v>2958465</v>
          </cell>
          <cell r="H38" t="str">
            <v>Whisky</v>
          </cell>
          <cell r="I38" t="str">
            <v>Skottland</v>
          </cell>
          <cell r="J38" t="str">
            <v>Highland</v>
          </cell>
          <cell r="K38" t="str">
            <v>Øvrige</v>
          </cell>
          <cell r="M38" t="str">
            <v>Isle of Raasay Distillery</v>
          </cell>
          <cell r="X38">
            <v>52</v>
          </cell>
          <cell r="Y38">
            <v>0.7</v>
          </cell>
          <cell r="Z38">
            <v>45208</v>
          </cell>
          <cell r="AA38">
            <v>2958465</v>
          </cell>
          <cell r="AB38">
            <v>1299</v>
          </cell>
          <cell r="AC38">
            <v>1855.71</v>
          </cell>
          <cell r="AD38" t="str">
            <v>Palmer Spirits AS</v>
          </cell>
          <cell r="AE38" t="str">
            <v>Cuveco AS</v>
          </cell>
          <cell r="AF38">
            <v>6</v>
          </cell>
        </row>
        <row r="39">
          <cell r="A39">
            <v>16597801</v>
          </cell>
          <cell r="B39" t="str">
            <v>Nc'Nean Quiet Rebels Gordon Single Malt</v>
          </cell>
          <cell r="C39">
            <v>45253</v>
          </cell>
          <cell r="D39" t="str">
            <v>Spesialutvalg</v>
          </cell>
          <cell r="E39">
            <v>45208</v>
          </cell>
          <cell r="F39">
            <v>2958465</v>
          </cell>
          <cell r="H39" t="str">
            <v>Whisky</v>
          </cell>
          <cell r="I39" t="str">
            <v>Skottland</v>
          </cell>
          <cell r="J39" t="str">
            <v>Highland</v>
          </cell>
          <cell r="K39" t="str">
            <v>Øvrige</v>
          </cell>
          <cell r="M39" t="str">
            <v>Nc'Nean</v>
          </cell>
          <cell r="X39">
            <v>48.5</v>
          </cell>
          <cell r="Y39">
            <v>0.7</v>
          </cell>
          <cell r="Z39">
            <v>45208</v>
          </cell>
          <cell r="AA39">
            <v>2958465</v>
          </cell>
          <cell r="AB39">
            <v>1260</v>
          </cell>
          <cell r="AC39">
            <v>1800</v>
          </cell>
          <cell r="AD39" t="str">
            <v>Palmer Spirits AS</v>
          </cell>
          <cell r="AE39" t="str">
            <v>Cuveco AS</v>
          </cell>
          <cell r="AF39">
            <v>6</v>
          </cell>
        </row>
        <row r="40">
          <cell r="A40">
            <v>16603901</v>
          </cell>
          <cell r="B40" t="str">
            <v>GlenAllachie Single Cask 2007 #800467 Single Malt 15YO</v>
          </cell>
          <cell r="C40">
            <v>45253</v>
          </cell>
          <cell r="D40" t="str">
            <v>Spesialutvalg</v>
          </cell>
          <cell r="E40">
            <v>45215</v>
          </cell>
          <cell r="F40">
            <v>2958465</v>
          </cell>
          <cell r="H40" t="str">
            <v>Whisky</v>
          </cell>
          <cell r="I40" t="str">
            <v>Skottland</v>
          </cell>
          <cell r="J40" t="str">
            <v>Speyside</v>
          </cell>
          <cell r="M40" t="str">
            <v>Glenallachie distillery</v>
          </cell>
          <cell r="X40">
            <v>58.3</v>
          </cell>
          <cell r="Y40">
            <v>0.7</v>
          </cell>
          <cell r="Z40">
            <v>45215</v>
          </cell>
          <cell r="AA40">
            <v>2958465</v>
          </cell>
          <cell r="AB40">
            <v>1909.7</v>
          </cell>
          <cell r="AC40">
            <v>2728.14</v>
          </cell>
          <cell r="AD40" t="str">
            <v>Cask AS</v>
          </cell>
          <cell r="AE40" t="str">
            <v>Skanlog AS</v>
          </cell>
          <cell r="AF40">
            <v>4</v>
          </cell>
        </row>
        <row r="41">
          <cell r="A41">
            <v>16604001</v>
          </cell>
          <cell r="B41" t="str">
            <v>GlenAllachie Single Cask 2008 #414 Single Malt 13YO</v>
          </cell>
          <cell r="C41">
            <v>45253</v>
          </cell>
          <cell r="D41" t="str">
            <v>Spesialutvalg</v>
          </cell>
          <cell r="E41">
            <v>45215</v>
          </cell>
          <cell r="F41">
            <v>2958465</v>
          </cell>
          <cell r="H41" t="str">
            <v>Whisky</v>
          </cell>
          <cell r="I41" t="str">
            <v>Skottland</v>
          </cell>
          <cell r="J41" t="str">
            <v>Speyside</v>
          </cell>
          <cell r="M41" t="str">
            <v>Glenallachie distillery</v>
          </cell>
          <cell r="X41">
            <v>56.6</v>
          </cell>
          <cell r="Y41">
            <v>0.7</v>
          </cell>
          <cell r="Z41">
            <v>45215</v>
          </cell>
          <cell r="AA41">
            <v>2958465</v>
          </cell>
          <cell r="AB41">
            <v>1749.6</v>
          </cell>
          <cell r="AC41">
            <v>2499.4299999999998</v>
          </cell>
          <cell r="AD41" t="str">
            <v>Cask AS</v>
          </cell>
          <cell r="AE41" t="str">
            <v>Skanlog AS</v>
          </cell>
          <cell r="AF41">
            <v>4</v>
          </cell>
        </row>
        <row r="42">
          <cell r="A42">
            <v>16604101</v>
          </cell>
          <cell r="B42" t="str">
            <v>GlenAllachie Single Cask 2006 #1408 Single Malt 16YO</v>
          </cell>
          <cell r="C42">
            <v>45253</v>
          </cell>
          <cell r="D42" t="str">
            <v>Spesialutvalg</v>
          </cell>
          <cell r="E42">
            <v>45215</v>
          </cell>
          <cell r="F42">
            <v>2958465</v>
          </cell>
          <cell r="H42" t="str">
            <v>Whisky</v>
          </cell>
          <cell r="I42" t="str">
            <v>Skottland</v>
          </cell>
          <cell r="J42" t="str">
            <v>Speyside</v>
          </cell>
          <cell r="M42" t="str">
            <v>Glenallachie distillery</v>
          </cell>
          <cell r="X42">
            <v>59.8</v>
          </cell>
          <cell r="Y42">
            <v>0.7</v>
          </cell>
          <cell r="Z42">
            <v>45215</v>
          </cell>
          <cell r="AA42">
            <v>2958465</v>
          </cell>
          <cell r="AB42">
            <v>2235.1999999999998</v>
          </cell>
          <cell r="AC42">
            <v>3193.14</v>
          </cell>
          <cell r="AD42" t="str">
            <v>Cask AS</v>
          </cell>
          <cell r="AE42" t="str">
            <v>Skanlog AS</v>
          </cell>
          <cell r="AF42">
            <v>4</v>
          </cell>
        </row>
        <row r="43">
          <cell r="A43">
            <v>16604201</v>
          </cell>
          <cell r="B43" t="str">
            <v>GlenAllachie Single Cask 2011 #7448 Single Malt 11YO 58,6% 70cl</v>
          </cell>
          <cell r="C43">
            <v>45253</v>
          </cell>
          <cell r="D43" t="str">
            <v>Spesialutvalg</v>
          </cell>
          <cell r="E43">
            <v>45215</v>
          </cell>
          <cell r="F43">
            <v>2958465</v>
          </cell>
          <cell r="H43" t="str">
            <v>Whisky</v>
          </cell>
          <cell r="I43" t="str">
            <v>Skottland</v>
          </cell>
          <cell r="J43" t="str">
            <v>Speyside</v>
          </cell>
          <cell r="M43" t="str">
            <v>Glenallachie distillery</v>
          </cell>
          <cell r="X43">
            <v>58.6</v>
          </cell>
          <cell r="Y43">
            <v>0.7</v>
          </cell>
          <cell r="Z43">
            <v>45215</v>
          </cell>
          <cell r="AA43">
            <v>2958465</v>
          </cell>
          <cell r="AB43">
            <v>1699.6</v>
          </cell>
          <cell r="AC43">
            <v>2428</v>
          </cell>
          <cell r="AD43" t="str">
            <v>Cask AS</v>
          </cell>
          <cell r="AE43" t="str">
            <v>Skanlog AS</v>
          </cell>
          <cell r="AF43">
            <v>4</v>
          </cell>
        </row>
        <row r="44">
          <cell r="A44">
            <v>16604601</v>
          </cell>
          <cell r="B44" t="str">
            <v>A.D Rattray Cask Collection 71 Balblair 2011 Cask #635 12 years old</v>
          </cell>
          <cell r="C44">
            <v>45253</v>
          </cell>
          <cell r="D44" t="str">
            <v>Spesialutvalg</v>
          </cell>
          <cell r="E44">
            <v>45215</v>
          </cell>
          <cell r="F44">
            <v>2958465</v>
          </cell>
          <cell r="H44" t="str">
            <v>Whisky</v>
          </cell>
          <cell r="I44" t="str">
            <v>Skottland</v>
          </cell>
          <cell r="J44" t="str">
            <v>Highland</v>
          </cell>
          <cell r="K44" t="str">
            <v>Øvrige</v>
          </cell>
          <cell r="M44" t="str">
            <v>A D Rattray</v>
          </cell>
          <cell r="X44">
            <v>57.4</v>
          </cell>
          <cell r="Y44">
            <v>0.7</v>
          </cell>
          <cell r="Z44">
            <v>45215</v>
          </cell>
          <cell r="AA44">
            <v>2958465</v>
          </cell>
          <cell r="AB44">
            <v>1765</v>
          </cell>
          <cell r="AC44">
            <v>2521.4299999999998</v>
          </cell>
          <cell r="AD44" t="str">
            <v>Daracha AS</v>
          </cell>
          <cell r="AE44" t="str">
            <v>Vinhuset AS - Oslo</v>
          </cell>
          <cell r="AF44">
            <v>6</v>
          </cell>
        </row>
        <row r="45">
          <cell r="A45">
            <v>16604702</v>
          </cell>
          <cell r="B45" t="str">
            <v>Mortlach 25 YO</v>
          </cell>
          <cell r="C45">
            <v>45253</v>
          </cell>
          <cell r="D45" t="str">
            <v>Spesialutvalg</v>
          </cell>
          <cell r="E45">
            <v>45215</v>
          </cell>
          <cell r="F45">
            <v>2958465</v>
          </cell>
          <cell r="H45" t="str">
            <v>Whisky</v>
          </cell>
          <cell r="I45" t="str">
            <v>Skottland</v>
          </cell>
          <cell r="J45" t="str">
            <v>Speyside</v>
          </cell>
          <cell r="M45" t="str">
            <v>Mortlach Distillery</v>
          </cell>
          <cell r="X45">
            <v>43.3</v>
          </cell>
          <cell r="Y45">
            <v>0.5</v>
          </cell>
          <cell r="Z45">
            <v>45215</v>
          </cell>
          <cell r="AA45">
            <v>2958465</v>
          </cell>
          <cell r="AB45">
            <v>6999.9</v>
          </cell>
          <cell r="AC45">
            <v>13999.8</v>
          </cell>
          <cell r="AD45" t="str">
            <v>Engelstad Spirits AS</v>
          </cell>
          <cell r="AE45" t="str">
            <v>Cuveco AS</v>
          </cell>
          <cell r="AF45">
            <v>4</v>
          </cell>
        </row>
        <row r="46">
          <cell r="A46">
            <v>16604801</v>
          </cell>
          <cell r="B46" t="str">
            <v>Talisker 18 YO</v>
          </cell>
          <cell r="C46">
            <v>45253</v>
          </cell>
          <cell r="D46" t="str">
            <v>Spesialutvalg</v>
          </cell>
          <cell r="E46">
            <v>45215</v>
          </cell>
          <cell r="F46">
            <v>2958465</v>
          </cell>
          <cell r="H46" t="str">
            <v>Whisky</v>
          </cell>
          <cell r="I46" t="str">
            <v>Skottland</v>
          </cell>
          <cell r="J46" t="str">
            <v>Skye</v>
          </cell>
          <cell r="M46" t="str">
            <v>Talisker Dist.</v>
          </cell>
          <cell r="X46">
            <v>45.8</v>
          </cell>
          <cell r="Y46">
            <v>0.7</v>
          </cell>
          <cell r="Z46">
            <v>45215</v>
          </cell>
          <cell r="AA46">
            <v>2958465</v>
          </cell>
          <cell r="AB46">
            <v>1999.9</v>
          </cell>
          <cell r="AC46">
            <v>2857</v>
          </cell>
          <cell r="AD46" t="str">
            <v>Engelstad Spirits AS</v>
          </cell>
          <cell r="AE46" t="str">
            <v>Cuveco AS</v>
          </cell>
          <cell r="AF46">
            <v>6</v>
          </cell>
        </row>
        <row r="47">
          <cell r="A47">
            <v>16605401</v>
          </cell>
          <cell r="B47" t="str">
            <v>Duncan Taylor Single Cask Bunnahabhain Heavily Peated 2014 8yo</v>
          </cell>
          <cell r="C47">
            <v>45253</v>
          </cell>
          <cell r="D47" t="str">
            <v>Spesialutvalg</v>
          </cell>
          <cell r="E47">
            <v>45215</v>
          </cell>
          <cell r="F47">
            <v>2958465</v>
          </cell>
          <cell r="H47" t="str">
            <v>Whisky</v>
          </cell>
          <cell r="I47" t="str">
            <v>Skottland</v>
          </cell>
          <cell r="J47" t="str">
            <v>Islay</v>
          </cell>
          <cell r="M47" t="str">
            <v>Duncan Taylor</v>
          </cell>
          <cell r="X47">
            <v>54.2</v>
          </cell>
          <cell r="Y47">
            <v>0.7</v>
          </cell>
          <cell r="Z47">
            <v>45215</v>
          </cell>
          <cell r="AA47">
            <v>2958465</v>
          </cell>
          <cell r="AB47">
            <v>1560</v>
          </cell>
          <cell r="AC47">
            <v>2228.5700000000002</v>
          </cell>
          <cell r="AD47" t="str">
            <v>Daracha AS</v>
          </cell>
          <cell r="AE47" t="str">
            <v>Vinhuset AS - Oslo</v>
          </cell>
          <cell r="AF47">
            <v>6</v>
          </cell>
        </row>
        <row r="48">
          <cell r="A48">
            <v>16613501</v>
          </cell>
          <cell r="B48" t="str">
            <v>Adelphi Ardnamurchan Sherry Cask</v>
          </cell>
          <cell r="C48">
            <v>45253</v>
          </cell>
          <cell r="D48" t="str">
            <v>Spesialutvalg</v>
          </cell>
          <cell r="E48">
            <v>45217</v>
          </cell>
          <cell r="F48">
            <v>2958465</v>
          </cell>
          <cell r="H48" t="str">
            <v>Whisky</v>
          </cell>
          <cell r="I48" t="str">
            <v>Skottland</v>
          </cell>
          <cell r="J48" t="str">
            <v>Highland</v>
          </cell>
          <cell r="K48" t="str">
            <v>Øvrige</v>
          </cell>
          <cell r="M48" t="str">
            <v>Adelphi Dist.</v>
          </cell>
          <cell r="X48">
            <v>50</v>
          </cell>
          <cell r="Y48">
            <v>0.7</v>
          </cell>
          <cell r="Z48">
            <v>45217</v>
          </cell>
          <cell r="AA48">
            <v>2958465</v>
          </cell>
          <cell r="AB48">
            <v>796.2</v>
          </cell>
          <cell r="AC48">
            <v>1137.43</v>
          </cell>
          <cell r="AD48" t="str">
            <v>Malt Norge AS</v>
          </cell>
          <cell r="AE48" t="str">
            <v>Cuveco AS</v>
          </cell>
          <cell r="AF48">
            <v>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T46" totalsRowShown="0">
  <autoFilter ref="A1:T46" xr:uid="{CE153430-30D6-498B-8322-F90321A429A2}"/>
  <sortState xmlns:xlrd2="http://schemas.microsoft.com/office/spreadsheetml/2017/richdata2" ref="A2:T46">
    <sortCondition ref="E2:E46"/>
    <sortCondition ref="I2:I46"/>
  </sortState>
  <tableColumns count="20"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 dataDxfId="2"/>
    <tableColumn id="9" xr3:uid="{0F5559B7-A7E9-48ED-B090-7BD40934A828}" name="Alkohol" dataDxfId="1"/>
    <tableColumn id="10" xr3:uid="{AE9503CA-C150-4A73-A474-CAE601FDB3C9}" name="Salgspris" dataDxfId="0">
      <calculatedColumnFormula>VLOOKUP(Tabell2[[#This Row],[Artikkelnr.]],'[1]Brennevin nov'!$A:$AF,28,0)</calculatedColumnFormula>
    </tableColumn>
    <tableColumn id="13" xr3:uid="{F8103985-E6C1-4CE1-A85F-0B3C1987CAC1}" name="Totalt antall"/>
    <tableColumn id="14" xr3:uid="{56FC66F6-9A83-4F9B-A991-28764E7D4C1C}" name="Fordeling Aker Brygge"/>
    <tableColumn id="15" xr3:uid="{BDDD42B0-81C4-4B7A-AF52-D7B600A62993}" name="Fordeling Valkendorfsgt"/>
    <tableColumn id="16" xr3:uid="{F933BE27-36CE-4F9E-A904-AEA0740158E9}" name="Fordeling Hamar"/>
    <tableColumn id="17" xr3:uid="{72D91BD5-3BF8-43A7-AA09-3EA228964BCF}" name="Fordeling Sandnes Kvadrat"/>
    <tableColumn id="18" xr3:uid="{DCDDFF0D-E8A6-4787-94DB-4721E3074F84}" name="Fordeling Storo"/>
    <tableColumn id="19" xr3:uid="{596FF882-7109-454F-B9DF-5E7ACC159D2E}" name="Fordeling Sandefjord"/>
    <tableColumn id="20" xr3:uid="{38C248A6-0530-4654-93D6-628551B91B9B}" name="Fordeling Valentinlyst"/>
    <tableColumn id="21" xr3:uid="{5A908F9C-6544-4FCA-B565-C33B694DC3D3}" name="Fordeling Tromsø Langnes"/>
    <tableColumn id="22" xr3:uid="{6A55439E-DE1B-47EA-97BF-92DBA19BBCB5}" name="Fordeling Postkontor/ På dør"/>
    <tableColumn id="29" xr3:uid="{4FCA3FAA-1920-4786-BC06-94EA771B31AC}" name="Til kvotering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T46"/>
  <sheetViews>
    <sheetView tabSelected="1" zoomScaleNormal="100" workbookViewId="0">
      <selection activeCell="T22" sqref="T22"/>
    </sheetView>
  </sheetViews>
  <sheetFormatPr baseColWidth="10" defaultColWidth="11.42578125" defaultRowHeight="15" x14ac:dyDescent="0.25"/>
  <cols>
    <col min="1" max="1" width="13.85546875" customWidth="1"/>
    <col min="2" max="2" width="37.85546875" customWidth="1"/>
    <col min="3" max="3" width="53" customWidth="1"/>
    <col min="4" max="4" width="13.140625" customWidth="1"/>
    <col min="5" max="5" width="10" customWidth="1"/>
    <col min="6" max="6" width="11.42578125" customWidth="1"/>
    <col min="7" max="7" width="11.140625" customWidth="1"/>
    <col min="8" max="9" width="11.42578125" customWidth="1"/>
    <col min="10" max="11" width="14.85546875" customWidth="1"/>
    <col min="12" max="12" width="11.5703125" customWidth="1"/>
    <col min="13" max="19" width="14.7109375" customWidth="1"/>
    <col min="20" max="20" width="11.5703125" customWidth="1"/>
  </cols>
  <sheetData>
    <row r="1" spans="1:20" ht="4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  <c r="P1" s="3" t="s">
        <v>108</v>
      </c>
      <c r="Q1" s="3" t="s">
        <v>109</v>
      </c>
      <c r="R1" s="3" t="s">
        <v>110</v>
      </c>
      <c r="S1" s="3" t="s">
        <v>102</v>
      </c>
      <c r="T1" s="3" t="s">
        <v>10</v>
      </c>
    </row>
    <row r="2" spans="1:20" ht="31.9" customHeight="1" x14ac:dyDescent="0.25">
      <c r="A2">
        <v>16583401</v>
      </c>
      <c r="B2" t="s">
        <v>38</v>
      </c>
      <c r="C2" t="s">
        <v>39</v>
      </c>
      <c r="E2" t="s">
        <v>40</v>
      </c>
      <c r="F2" t="s">
        <v>41</v>
      </c>
      <c r="G2" s="2">
        <v>0.7</v>
      </c>
      <c r="H2" s="1">
        <v>40</v>
      </c>
      <c r="I2" s="1">
        <v>1599</v>
      </c>
      <c r="J2">
        <v>18</v>
      </c>
      <c r="K2">
        <v>3</v>
      </c>
      <c r="L2">
        <v>2</v>
      </c>
      <c r="M2">
        <v>2</v>
      </c>
      <c r="N2">
        <v>2</v>
      </c>
      <c r="O2">
        <v>3</v>
      </c>
      <c r="P2">
        <v>2</v>
      </c>
      <c r="Q2">
        <v>2</v>
      </c>
      <c r="R2">
        <v>2</v>
      </c>
    </row>
    <row r="3" spans="1:20" ht="31.9" customHeight="1" x14ac:dyDescent="0.25">
      <c r="A3">
        <v>16590501</v>
      </c>
      <c r="B3" t="s">
        <v>84</v>
      </c>
      <c r="C3" t="s">
        <v>85</v>
      </c>
      <c r="E3" t="s">
        <v>86</v>
      </c>
      <c r="F3" t="s">
        <v>41</v>
      </c>
      <c r="G3" s="2">
        <v>0.7</v>
      </c>
      <c r="H3" s="1">
        <v>45</v>
      </c>
      <c r="I3" s="1">
        <f>VLOOKUP(Tabell2[[#This Row],[Artikkelnr.]],'[1]Brennevin nov'!$A:$AF,28,0)</f>
        <v>898.6</v>
      </c>
      <c r="J3">
        <v>19</v>
      </c>
      <c r="K3">
        <v>3</v>
      </c>
      <c r="L3">
        <v>4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</row>
    <row r="4" spans="1:20" ht="31.9" customHeight="1" x14ac:dyDescent="0.25">
      <c r="A4">
        <v>15927201</v>
      </c>
      <c r="B4" t="s">
        <v>20</v>
      </c>
      <c r="C4" t="s">
        <v>21</v>
      </c>
      <c r="D4">
        <v>1993</v>
      </c>
      <c r="E4" t="s">
        <v>22</v>
      </c>
      <c r="F4" t="s">
        <v>23</v>
      </c>
      <c r="G4" s="2">
        <v>0.7</v>
      </c>
      <c r="H4" s="1">
        <v>42</v>
      </c>
      <c r="I4" s="1">
        <v>2199</v>
      </c>
      <c r="J4">
        <v>59</v>
      </c>
      <c r="K4">
        <v>7</v>
      </c>
      <c r="L4">
        <v>6</v>
      </c>
      <c r="M4">
        <v>6</v>
      </c>
      <c r="N4">
        <v>6</v>
      </c>
      <c r="O4">
        <v>8</v>
      </c>
      <c r="P4">
        <v>6</v>
      </c>
      <c r="Q4">
        <v>6</v>
      </c>
      <c r="R4">
        <v>8</v>
      </c>
      <c r="S4">
        <v>6</v>
      </c>
    </row>
    <row r="5" spans="1:20" ht="31.9" customHeight="1" x14ac:dyDescent="0.25">
      <c r="A5">
        <v>16592501</v>
      </c>
      <c r="B5" t="s">
        <v>49</v>
      </c>
      <c r="C5" t="s">
        <v>50</v>
      </c>
      <c r="E5" t="s">
        <v>51</v>
      </c>
      <c r="F5" t="s">
        <v>52</v>
      </c>
      <c r="G5" s="2">
        <v>0.7</v>
      </c>
      <c r="H5" s="1">
        <v>46</v>
      </c>
      <c r="I5" s="1">
        <v>7600</v>
      </c>
      <c r="J5">
        <v>17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3</v>
      </c>
    </row>
    <row r="6" spans="1:20" ht="31.9" customHeight="1" x14ac:dyDescent="0.25">
      <c r="A6">
        <v>8123702</v>
      </c>
      <c r="B6" t="s">
        <v>69</v>
      </c>
      <c r="C6" t="s">
        <v>75</v>
      </c>
      <c r="D6">
        <v>2010</v>
      </c>
      <c r="E6" t="s">
        <v>71</v>
      </c>
      <c r="F6" t="s">
        <v>76</v>
      </c>
      <c r="G6" s="2">
        <v>0.5</v>
      </c>
      <c r="H6" s="1">
        <v>44</v>
      </c>
      <c r="I6" s="1">
        <v>867</v>
      </c>
      <c r="J6">
        <v>12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</row>
    <row r="7" spans="1:20" ht="31.9" customHeight="1" x14ac:dyDescent="0.25">
      <c r="A7">
        <v>7433802</v>
      </c>
      <c r="B7" t="s">
        <v>69</v>
      </c>
      <c r="C7" t="s">
        <v>70</v>
      </c>
      <c r="D7">
        <v>2018</v>
      </c>
      <c r="E7" t="s">
        <v>71</v>
      </c>
      <c r="F7" t="s">
        <v>72</v>
      </c>
      <c r="G7" s="2">
        <v>0.5</v>
      </c>
      <c r="H7" s="1">
        <v>41</v>
      </c>
      <c r="I7" s="1">
        <v>1020.7</v>
      </c>
      <c r="J7">
        <v>11</v>
      </c>
      <c r="K7">
        <v>2</v>
      </c>
      <c r="L7">
        <v>2</v>
      </c>
      <c r="O7">
        <v>3</v>
      </c>
      <c r="Q7">
        <v>2</v>
      </c>
      <c r="R7">
        <v>2</v>
      </c>
      <c r="T7" t="s">
        <v>111</v>
      </c>
    </row>
    <row r="8" spans="1:20" ht="31.9" customHeight="1" x14ac:dyDescent="0.25">
      <c r="A8">
        <v>7433602</v>
      </c>
      <c r="B8" t="s">
        <v>69</v>
      </c>
      <c r="C8" t="s">
        <v>74</v>
      </c>
      <c r="D8">
        <v>2015</v>
      </c>
      <c r="E8" t="s">
        <v>71</v>
      </c>
      <c r="F8" t="s">
        <v>72</v>
      </c>
      <c r="G8" s="2">
        <v>0.5</v>
      </c>
      <c r="H8" s="1">
        <v>41</v>
      </c>
      <c r="I8" s="1">
        <v>1103.7</v>
      </c>
      <c r="J8">
        <v>12</v>
      </c>
      <c r="L8">
        <v>2</v>
      </c>
      <c r="O8">
        <v>3</v>
      </c>
      <c r="Q8">
        <v>2</v>
      </c>
      <c r="R8">
        <v>2</v>
      </c>
      <c r="T8" t="s">
        <v>111</v>
      </c>
    </row>
    <row r="9" spans="1:20" ht="31.9" customHeight="1" x14ac:dyDescent="0.25">
      <c r="A9">
        <v>10192702</v>
      </c>
      <c r="B9" t="s">
        <v>69</v>
      </c>
      <c r="C9" t="s">
        <v>77</v>
      </c>
      <c r="D9">
        <v>2017</v>
      </c>
      <c r="E9" t="s">
        <v>71</v>
      </c>
      <c r="F9" t="s">
        <v>72</v>
      </c>
      <c r="G9" s="2">
        <v>0.5</v>
      </c>
      <c r="H9" s="1">
        <v>41</v>
      </c>
      <c r="I9" s="1">
        <v>1103.7</v>
      </c>
      <c r="J9">
        <v>12</v>
      </c>
      <c r="L9">
        <v>2</v>
      </c>
      <c r="O9">
        <v>3</v>
      </c>
      <c r="Q9">
        <v>2</v>
      </c>
      <c r="R9">
        <v>2</v>
      </c>
      <c r="T9" t="s">
        <v>111</v>
      </c>
    </row>
    <row r="10" spans="1:20" ht="31.9" customHeight="1" x14ac:dyDescent="0.25">
      <c r="A10">
        <v>3599402</v>
      </c>
      <c r="B10" t="s">
        <v>69</v>
      </c>
      <c r="C10" t="s">
        <v>73</v>
      </c>
      <c r="D10">
        <v>2016</v>
      </c>
      <c r="E10" t="s">
        <v>71</v>
      </c>
      <c r="F10" t="s">
        <v>72</v>
      </c>
      <c r="G10" s="2">
        <v>0.5</v>
      </c>
      <c r="H10" s="1">
        <v>41</v>
      </c>
      <c r="I10" s="1">
        <v>1145.9000000000001</v>
      </c>
      <c r="J10">
        <v>11</v>
      </c>
      <c r="K10">
        <v>2</v>
      </c>
      <c r="L10">
        <v>2</v>
      </c>
      <c r="O10">
        <v>3</v>
      </c>
      <c r="Q10">
        <v>2</v>
      </c>
      <c r="R10">
        <v>2</v>
      </c>
      <c r="T10" t="s">
        <v>111</v>
      </c>
    </row>
    <row r="11" spans="1:20" ht="31.9" customHeight="1" x14ac:dyDescent="0.25">
      <c r="A11">
        <v>16342501</v>
      </c>
      <c r="B11" t="s">
        <v>14</v>
      </c>
      <c r="C11" t="s">
        <v>95</v>
      </c>
      <c r="E11" t="s">
        <v>15</v>
      </c>
      <c r="F11" t="s">
        <v>16</v>
      </c>
      <c r="G11" s="2">
        <v>0.7</v>
      </c>
      <c r="H11" s="1">
        <v>40</v>
      </c>
      <c r="I11" s="1">
        <v>659.9</v>
      </c>
      <c r="J11">
        <v>119</v>
      </c>
      <c r="K11">
        <v>23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</row>
    <row r="12" spans="1:20" ht="31.9" customHeight="1" x14ac:dyDescent="0.25">
      <c r="A12">
        <v>16342401</v>
      </c>
      <c r="B12" t="s">
        <v>14</v>
      </c>
      <c r="C12" t="s">
        <v>94</v>
      </c>
      <c r="E12" t="s">
        <v>15</v>
      </c>
      <c r="F12" t="s">
        <v>16</v>
      </c>
      <c r="G12" s="2">
        <v>0.7</v>
      </c>
      <c r="H12" s="1">
        <v>40</v>
      </c>
      <c r="I12" s="1">
        <v>719.9</v>
      </c>
      <c r="J12">
        <v>59</v>
      </c>
      <c r="K12">
        <v>9</v>
      </c>
      <c r="L12">
        <v>6</v>
      </c>
      <c r="M12">
        <v>6</v>
      </c>
      <c r="N12">
        <v>6</v>
      </c>
      <c r="O12">
        <v>8</v>
      </c>
      <c r="P12">
        <v>6</v>
      </c>
      <c r="Q12">
        <v>6</v>
      </c>
      <c r="R12">
        <v>6</v>
      </c>
      <c r="S12">
        <v>6</v>
      </c>
    </row>
    <row r="13" spans="1:20" ht="31.9" customHeight="1" x14ac:dyDescent="0.25">
      <c r="A13">
        <v>16583301</v>
      </c>
      <c r="B13" t="s">
        <v>44</v>
      </c>
      <c r="C13" t="s">
        <v>45</v>
      </c>
      <c r="E13" t="s">
        <v>15</v>
      </c>
      <c r="F13" t="s">
        <v>16</v>
      </c>
      <c r="G13" s="2">
        <v>0.7</v>
      </c>
      <c r="H13" s="1">
        <v>40</v>
      </c>
      <c r="I13" s="1">
        <v>1299</v>
      </c>
      <c r="J13">
        <v>47</v>
      </c>
      <c r="K13">
        <v>5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</row>
    <row r="14" spans="1:20" ht="31.9" customHeight="1" x14ac:dyDescent="0.25">
      <c r="A14">
        <v>14046501</v>
      </c>
      <c r="B14" t="s">
        <v>42</v>
      </c>
      <c r="C14" t="s">
        <v>97</v>
      </c>
      <c r="E14" t="s">
        <v>43</v>
      </c>
      <c r="F14" t="s">
        <v>13</v>
      </c>
      <c r="G14" s="2">
        <v>0.7</v>
      </c>
      <c r="H14" s="1">
        <v>48</v>
      </c>
      <c r="I14" s="1">
        <v>3999</v>
      </c>
      <c r="J14">
        <v>4</v>
      </c>
      <c r="K14">
        <v>1</v>
      </c>
      <c r="L14">
        <v>1</v>
      </c>
      <c r="N14">
        <v>1</v>
      </c>
      <c r="Q14">
        <v>1</v>
      </c>
      <c r="T14" t="s">
        <v>111</v>
      </c>
    </row>
    <row r="15" spans="1:20" ht="31.9" customHeight="1" x14ac:dyDescent="0.25">
      <c r="A15">
        <v>761401</v>
      </c>
      <c r="B15" t="s">
        <v>83</v>
      </c>
      <c r="C15" t="s">
        <v>100</v>
      </c>
      <c r="E15" t="s">
        <v>12</v>
      </c>
      <c r="F15" t="s">
        <v>13</v>
      </c>
      <c r="G15" s="2">
        <v>0.7</v>
      </c>
      <c r="H15" s="1">
        <v>40</v>
      </c>
      <c r="I15" s="1">
        <f>VLOOKUP(Tabell2[[#This Row],[Artikkelnr.]],'[1]Brennevin nov'!$A:$AF,28,0)</f>
        <v>599.9</v>
      </c>
      <c r="J15">
        <v>49</v>
      </c>
      <c r="K15">
        <v>11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4</v>
      </c>
    </row>
    <row r="16" spans="1:20" ht="31.9" customHeight="1" x14ac:dyDescent="0.25">
      <c r="A16">
        <v>16613501</v>
      </c>
      <c r="B16" t="s">
        <v>78</v>
      </c>
      <c r="C16" t="s">
        <v>80</v>
      </c>
      <c r="D16">
        <v>2023</v>
      </c>
      <c r="E16" t="s">
        <v>12</v>
      </c>
      <c r="F16" t="s">
        <v>13</v>
      </c>
      <c r="G16" s="2">
        <v>0.7</v>
      </c>
      <c r="H16" s="1">
        <v>50</v>
      </c>
      <c r="I16" s="1">
        <v>796.2</v>
      </c>
      <c r="J16">
        <v>192</v>
      </c>
      <c r="K16">
        <v>24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24</v>
      </c>
      <c r="R16">
        <v>20</v>
      </c>
      <c r="S16">
        <v>24</v>
      </c>
    </row>
    <row r="17" spans="1:20" ht="31.9" customHeight="1" x14ac:dyDescent="0.25">
      <c r="A17">
        <v>14978401</v>
      </c>
      <c r="B17" t="s">
        <v>78</v>
      </c>
      <c r="C17" t="s">
        <v>79</v>
      </c>
      <c r="D17">
        <v>2023</v>
      </c>
      <c r="E17" t="s">
        <v>12</v>
      </c>
      <c r="F17" t="s">
        <v>13</v>
      </c>
      <c r="G17" s="2">
        <v>0.7</v>
      </c>
      <c r="H17" s="1">
        <v>57.1</v>
      </c>
      <c r="I17" s="1">
        <v>918.9</v>
      </c>
      <c r="J17">
        <v>60</v>
      </c>
      <c r="K17">
        <v>6</v>
      </c>
      <c r="L17">
        <v>6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12</v>
      </c>
    </row>
    <row r="18" spans="1:20" ht="31.9" customHeight="1" x14ac:dyDescent="0.25">
      <c r="A18">
        <v>2198401</v>
      </c>
      <c r="B18" t="s">
        <v>33</v>
      </c>
      <c r="C18" t="s">
        <v>34</v>
      </c>
      <c r="E18" t="s">
        <v>12</v>
      </c>
      <c r="F18" t="s">
        <v>13</v>
      </c>
      <c r="G18" s="2">
        <v>0.7</v>
      </c>
      <c r="H18" s="1">
        <v>58.8</v>
      </c>
      <c r="I18" s="1">
        <v>949</v>
      </c>
      <c r="J18">
        <v>149</v>
      </c>
      <c r="K18">
        <v>17</v>
      </c>
      <c r="L18">
        <v>18</v>
      </c>
      <c r="M18">
        <v>18</v>
      </c>
      <c r="N18">
        <v>16</v>
      </c>
      <c r="O18">
        <v>16</v>
      </c>
      <c r="P18">
        <v>16</v>
      </c>
      <c r="Q18">
        <v>18</v>
      </c>
      <c r="R18">
        <v>18</v>
      </c>
      <c r="S18">
        <v>12</v>
      </c>
    </row>
    <row r="19" spans="1:20" ht="31.9" customHeight="1" x14ac:dyDescent="0.25">
      <c r="A19">
        <v>16592601</v>
      </c>
      <c r="B19" t="s">
        <v>56</v>
      </c>
      <c r="C19" t="s">
        <v>57</v>
      </c>
      <c r="E19" t="s">
        <v>12</v>
      </c>
      <c r="F19" t="s">
        <v>13</v>
      </c>
      <c r="G19" s="2">
        <v>0.7</v>
      </c>
      <c r="H19" s="1">
        <v>46</v>
      </c>
      <c r="I19" s="1">
        <v>1090</v>
      </c>
      <c r="J19">
        <v>59</v>
      </c>
      <c r="K19">
        <v>5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12</v>
      </c>
      <c r="T19" t="s">
        <v>111</v>
      </c>
    </row>
    <row r="20" spans="1:20" ht="31.9" customHeight="1" x14ac:dyDescent="0.25">
      <c r="A20">
        <v>16583001</v>
      </c>
      <c r="B20" t="s">
        <v>62</v>
      </c>
      <c r="C20" t="s">
        <v>63</v>
      </c>
      <c r="E20" t="s">
        <v>12</v>
      </c>
      <c r="F20" t="s">
        <v>13</v>
      </c>
      <c r="G20" s="2">
        <v>0.7</v>
      </c>
      <c r="H20" s="1">
        <v>46</v>
      </c>
      <c r="I20" s="1">
        <v>1199.9000000000001</v>
      </c>
      <c r="J20">
        <v>119</v>
      </c>
      <c r="K20">
        <v>11</v>
      </c>
      <c r="L20">
        <v>14</v>
      </c>
      <c r="M20">
        <v>14</v>
      </c>
      <c r="N20">
        <v>14</v>
      </c>
      <c r="O20">
        <v>14</v>
      </c>
      <c r="P20">
        <v>12</v>
      </c>
      <c r="Q20">
        <v>14</v>
      </c>
      <c r="R20">
        <v>14</v>
      </c>
      <c r="S20">
        <v>12</v>
      </c>
    </row>
    <row r="21" spans="1:20" ht="31.9" customHeight="1" x14ac:dyDescent="0.25">
      <c r="A21">
        <v>16592301</v>
      </c>
      <c r="B21" t="s">
        <v>53</v>
      </c>
      <c r="C21" t="s">
        <v>55</v>
      </c>
      <c r="E21" t="s">
        <v>12</v>
      </c>
      <c r="F21" t="s">
        <v>13</v>
      </c>
      <c r="G21" s="2">
        <v>0.7</v>
      </c>
      <c r="H21" s="1">
        <v>49.9</v>
      </c>
      <c r="I21" s="1">
        <v>1230</v>
      </c>
      <c r="J21">
        <v>89</v>
      </c>
      <c r="K21">
        <v>9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 t="s">
        <v>112</v>
      </c>
    </row>
    <row r="22" spans="1:20" ht="31.9" customHeight="1" x14ac:dyDescent="0.25">
      <c r="A22">
        <v>16597801</v>
      </c>
      <c r="B22" t="s">
        <v>92</v>
      </c>
      <c r="C22" t="s">
        <v>93</v>
      </c>
      <c r="E22" t="s">
        <v>12</v>
      </c>
      <c r="F22" t="s">
        <v>13</v>
      </c>
      <c r="G22" s="2">
        <v>0.7</v>
      </c>
      <c r="H22" s="1">
        <v>48.5</v>
      </c>
      <c r="I22" s="1">
        <f>VLOOKUP(Tabell2[[#This Row],[Artikkelnr.]],'[1]Brennevin nov'!$A:$AF,28,0)</f>
        <v>1260</v>
      </c>
      <c r="J22">
        <v>119</v>
      </c>
      <c r="K22">
        <v>15</v>
      </c>
      <c r="L22">
        <v>15</v>
      </c>
      <c r="M22">
        <v>15</v>
      </c>
      <c r="N22">
        <v>15</v>
      </c>
      <c r="O22">
        <v>15</v>
      </c>
      <c r="P22">
        <v>14</v>
      </c>
      <c r="Q22">
        <v>15</v>
      </c>
      <c r="R22">
        <v>15</v>
      </c>
    </row>
    <row r="23" spans="1:20" ht="31.9" customHeight="1" x14ac:dyDescent="0.25">
      <c r="A23">
        <v>16597701</v>
      </c>
      <c r="B23" t="s">
        <v>81</v>
      </c>
      <c r="C23" t="s">
        <v>82</v>
      </c>
      <c r="E23" t="s">
        <v>12</v>
      </c>
      <c r="F23" t="s">
        <v>13</v>
      </c>
      <c r="G23" s="2">
        <v>0.7</v>
      </c>
      <c r="H23" s="1">
        <v>52</v>
      </c>
      <c r="I23" s="1">
        <f>VLOOKUP(Tabell2[[#This Row],[Artikkelnr.]],'[1]Brennevin nov'!$A:$AF,28,0)</f>
        <v>1299</v>
      </c>
      <c r="J23">
        <v>108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</row>
    <row r="24" spans="1:20" ht="31.9" customHeight="1" x14ac:dyDescent="0.25">
      <c r="A24">
        <v>11403601</v>
      </c>
      <c r="B24" t="s">
        <v>68</v>
      </c>
      <c r="C24" t="s">
        <v>98</v>
      </c>
      <c r="E24" t="s">
        <v>12</v>
      </c>
      <c r="F24" t="s">
        <v>13</v>
      </c>
      <c r="G24" s="2">
        <v>0.7</v>
      </c>
      <c r="H24" s="1">
        <v>46</v>
      </c>
      <c r="I24" s="1">
        <v>1299.9000000000001</v>
      </c>
      <c r="J24">
        <v>79</v>
      </c>
      <c r="K24">
        <v>9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</row>
    <row r="25" spans="1:20" ht="31.9" customHeight="1" x14ac:dyDescent="0.25">
      <c r="A25">
        <v>16583201</v>
      </c>
      <c r="B25" t="s">
        <v>87</v>
      </c>
      <c r="C25" t="s">
        <v>101</v>
      </c>
      <c r="E25" t="s">
        <v>12</v>
      </c>
      <c r="F25" t="s">
        <v>13</v>
      </c>
      <c r="G25" s="2">
        <v>0.7</v>
      </c>
      <c r="H25" s="1">
        <v>46.4</v>
      </c>
      <c r="I25" s="1">
        <f>VLOOKUP(Tabell2[[#This Row],[Artikkelnr.]],'[1]Brennevin nov'!$A:$AF,28,0)</f>
        <v>1319.7</v>
      </c>
      <c r="J25">
        <v>59</v>
      </c>
      <c r="K25">
        <v>7</v>
      </c>
      <c r="L25">
        <v>8</v>
      </c>
      <c r="M25">
        <v>8</v>
      </c>
      <c r="N25">
        <v>8</v>
      </c>
      <c r="O25">
        <v>8</v>
      </c>
      <c r="P25">
        <v>4</v>
      </c>
      <c r="Q25">
        <v>8</v>
      </c>
      <c r="R25">
        <v>8</v>
      </c>
    </row>
    <row r="26" spans="1:20" ht="31.9" customHeight="1" x14ac:dyDescent="0.25">
      <c r="A26">
        <v>15927101</v>
      </c>
      <c r="B26" t="s">
        <v>17</v>
      </c>
      <c r="C26" t="s">
        <v>19</v>
      </c>
      <c r="E26" t="s">
        <v>12</v>
      </c>
      <c r="F26" t="s">
        <v>13</v>
      </c>
      <c r="G26" s="2">
        <v>0.7</v>
      </c>
      <c r="H26" s="1">
        <v>46</v>
      </c>
      <c r="I26" s="1">
        <v>1399.9</v>
      </c>
      <c r="J26">
        <v>35</v>
      </c>
      <c r="K26">
        <v>3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</row>
    <row r="27" spans="1:20" ht="31.9" customHeight="1" x14ac:dyDescent="0.25">
      <c r="A27">
        <v>16583501</v>
      </c>
      <c r="B27" t="s">
        <v>29</v>
      </c>
      <c r="C27" t="s">
        <v>30</v>
      </c>
      <c r="E27" t="s">
        <v>12</v>
      </c>
      <c r="F27" t="s">
        <v>13</v>
      </c>
      <c r="G27" s="2">
        <v>0.7</v>
      </c>
      <c r="H27" s="1">
        <v>48.7</v>
      </c>
      <c r="I27" s="1">
        <v>1506.6</v>
      </c>
      <c r="J27">
        <v>83</v>
      </c>
      <c r="K27">
        <v>11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12</v>
      </c>
    </row>
    <row r="28" spans="1:20" ht="31.9" customHeight="1" x14ac:dyDescent="0.25">
      <c r="A28">
        <v>16605401</v>
      </c>
      <c r="B28" t="s">
        <v>64</v>
      </c>
      <c r="C28" t="s">
        <v>65</v>
      </c>
      <c r="E28" t="s">
        <v>12</v>
      </c>
      <c r="F28" t="s">
        <v>13</v>
      </c>
      <c r="G28" s="2">
        <v>0.7</v>
      </c>
      <c r="H28" s="1">
        <v>54.2</v>
      </c>
      <c r="I28" s="1">
        <v>1560</v>
      </c>
      <c r="J28">
        <v>89</v>
      </c>
      <c r="K28">
        <v>9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</row>
    <row r="29" spans="1:20" ht="31.9" customHeight="1" x14ac:dyDescent="0.25">
      <c r="A29">
        <v>16583101</v>
      </c>
      <c r="B29" t="s">
        <v>60</v>
      </c>
      <c r="C29" t="s">
        <v>61</v>
      </c>
      <c r="E29" t="s">
        <v>12</v>
      </c>
      <c r="F29" t="s">
        <v>13</v>
      </c>
      <c r="G29" s="2">
        <v>0.7</v>
      </c>
      <c r="H29" s="1">
        <v>46</v>
      </c>
      <c r="I29" s="1">
        <v>1599.9</v>
      </c>
      <c r="J29">
        <v>227</v>
      </c>
      <c r="K29">
        <v>23</v>
      </c>
      <c r="L29">
        <v>24</v>
      </c>
      <c r="M29">
        <v>24</v>
      </c>
      <c r="N29">
        <v>24</v>
      </c>
      <c r="O29">
        <v>24</v>
      </c>
      <c r="P29">
        <v>24</v>
      </c>
      <c r="Q29">
        <v>24</v>
      </c>
      <c r="R29">
        <v>24</v>
      </c>
      <c r="S29">
        <v>36</v>
      </c>
    </row>
    <row r="30" spans="1:20" ht="31.9" customHeight="1" x14ac:dyDescent="0.25">
      <c r="A30">
        <v>16604201</v>
      </c>
      <c r="B30" t="s">
        <v>24</v>
      </c>
      <c r="C30" t="s">
        <v>28</v>
      </c>
      <c r="D30">
        <v>2011</v>
      </c>
      <c r="E30" t="s">
        <v>12</v>
      </c>
      <c r="F30" t="s">
        <v>13</v>
      </c>
      <c r="G30" s="2">
        <v>0.7</v>
      </c>
      <c r="H30" s="1">
        <v>58.6</v>
      </c>
      <c r="I30" s="1">
        <v>1699.6</v>
      </c>
      <c r="J30">
        <v>11</v>
      </c>
      <c r="K30">
        <v>2</v>
      </c>
      <c r="L30">
        <v>1</v>
      </c>
      <c r="M30">
        <v>1</v>
      </c>
      <c r="N30">
        <v>2</v>
      </c>
      <c r="O30">
        <v>1</v>
      </c>
      <c r="P30">
        <v>1</v>
      </c>
      <c r="Q30">
        <v>2</v>
      </c>
      <c r="R30">
        <v>1</v>
      </c>
    </row>
    <row r="31" spans="1:20" ht="31.9" customHeight="1" x14ac:dyDescent="0.25">
      <c r="A31">
        <v>16604001</v>
      </c>
      <c r="B31" t="s">
        <v>24</v>
      </c>
      <c r="C31" t="s">
        <v>27</v>
      </c>
      <c r="D31">
        <v>2008</v>
      </c>
      <c r="E31" t="s">
        <v>12</v>
      </c>
      <c r="F31" t="s">
        <v>13</v>
      </c>
      <c r="G31" s="2">
        <v>0.7</v>
      </c>
      <c r="H31" s="1">
        <v>56.6</v>
      </c>
      <c r="I31" s="1">
        <v>1749.6</v>
      </c>
      <c r="J31">
        <v>8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20" ht="31.9" customHeight="1" x14ac:dyDescent="0.25">
      <c r="A32">
        <v>16604601</v>
      </c>
      <c r="B32" t="s">
        <v>66</v>
      </c>
      <c r="C32" t="s">
        <v>67</v>
      </c>
      <c r="E32" t="s">
        <v>12</v>
      </c>
      <c r="F32" t="s">
        <v>13</v>
      </c>
      <c r="G32" s="2">
        <v>0.7</v>
      </c>
      <c r="H32" s="1">
        <v>57.4</v>
      </c>
      <c r="I32" s="1">
        <v>1765</v>
      </c>
      <c r="J32">
        <v>89</v>
      </c>
      <c r="K32">
        <v>9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</row>
    <row r="33" spans="1:20" ht="31.9" customHeight="1" x14ac:dyDescent="0.25">
      <c r="A33">
        <v>11403501</v>
      </c>
      <c r="B33" t="s">
        <v>33</v>
      </c>
      <c r="C33" t="s">
        <v>96</v>
      </c>
      <c r="D33">
        <v>1991</v>
      </c>
      <c r="E33" t="s">
        <v>12</v>
      </c>
      <c r="F33" t="s">
        <v>13</v>
      </c>
      <c r="G33" s="2">
        <v>0.7</v>
      </c>
      <c r="H33" s="1">
        <v>55.4</v>
      </c>
      <c r="I33" s="1">
        <v>1899</v>
      </c>
      <c r="J33">
        <v>5</v>
      </c>
      <c r="K33">
        <v>1</v>
      </c>
      <c r="L33">
        <v>1</v>
      </c>
      <c r="M33">
        <v>1</v>
      </c>
      <c r="N33">
        <v>1</v>
      </c>
      <c r="Q33">
        <v>0</v>
      </c>
      <c r="R33">
        <v>1</v>
      </c>
      <c r="T33" t="s">
        <v>111</v>
      </c>
    </row>
    <row r="34" spans="1:20" ht="31.9" customHeight="1" x14ac:dyDescent="0.25">
      <c r="A34">
        <v>16603901</v>
      </c>
      <c r="B34" t="s">
        <v>24</v>
      </c>
      <c r="C34" t="s">
        <v>26</v>
      </c>
      <c r="D34">
        <v>2007</v>
      </c>
      <c r="E34" t="s">
        <v>12</v>
      </c>
      <c r="F34" t="s">
        <v>13</v>
      </c>
      <c r="G34" s="2">
        <v>0.7</v>
      </c>
      <c r="H34" s="1">
        <v>58.3</v>
      </c>
      <c r="I34" s="1">
        <v>1909.7</v>
      </c>
      <c r="J34">
        <v>11</v>
      </c>
      <c r="K34">
        <v>2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R34">
        <v>2</v>
      </c>
    </row>
    <row r="35" spans="1:20" ht="31.9" customHeight="1" x14ac:dyDescent="0.25">
      <c r="A35">
        <v>12788001</v>
      </c>
      <c r="B35" t="s">
        <v>33</v>
      </c>
      <c r="C35" t="s">
        <v>35</v>
      </c>
      <c r="E35" t="s">
        <v>12</v>
      </c>
      <c r="F35" t="s">
        <v>13</v>
      </c>
      <c r="G35" s="2">
        <v>0.7</v>
      </c>
      <c r="H35" s="1">
        <v>43</v>
      </c>
      <c r="I35" s="1">
        <v>1962.8</v>
      </c>
      <c r="J35">
        <v>6</v>
      </c>
      <c r="K35">
        <v>1</v>
      </c>
      <c r="L35">
        <v>1</v>
      </c>
      <c r="N35">
        <v>1</v>
      </c>
      <c r="O35">
        <v>1</v>
      </c>
      <c r="Q35">
        <v>1</v>
      </c>
      <c r="R35">
        <v>1</v>
      </c>
      <c r="T35" t="s">
        <v>111</v>
      </c>
    </row>
    <row r="36" spans="1:20" ht="31.9" customHeight="1" x14ac:dyDescent="0.25">
      <c r="A36">
        <v>16604801</v>
      </c>
      <c r="B36" t="s">
        <v>88</v>
      </c>
      <c r="C36" t="s">
        <v>89</v>
      </c>
      <c r="E36" t="s">
        <v>12</v>
      </c>
      <c r="F36" t="s">
        <v>13</v>
      </c>
      <c r="G36" s="2">
        <v>0.7</v>
      </c>
      <c r="H36" s="1">
        <v>45.8</v>
      </c>
      <c r="I36" s="1">
        <f>VLOOKUP(Tabell2[[#This Row],[Artikkelnr.]],'[1]Brennevin nov'!$A:$AF,28,0)</f>
        <v>1999.9</v>
      </c>
      <c r="J36">
        <v>39</v>
      </c>
      <c r="K36">
        <v>5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6</v>
      </c>
      <c r="T36" t="s">
        <v>111</v>
      </c>
    </row>
    <row r="37" spans="1:20" ht="31.9" customHeight="1" x14ac:dyDescent="0.25">
      <c r="A37">
        <v>16604101</v>
      </c>
      <c r="B37" t="s">
        <v>24</v>
      </c>
      <c r="C37" t="s">
        <v>25</v>
      </c>
      <c r="D37">
        <v>2006</v>
      </c>
      <c r="E37" t="s">
        <v>12</v>
      </c>
      <c r="F37" t="s">
        <v>13</v>
      </c>
      <c r="G37" s="2">
        <v>0.7</v>
      </c>
      <c r="H37" s="1">
        <v>59.8</v>
      </c>
      <c r="I37" s="1">
        <v>2235.1999999999998</v>
      </c>
      <c r="J37">
        <v>13</v>
      </c>
      <c r="K37">
        <v>2</v>
      </c>
      <c r="L37">
        <v>2</v>
      </c>
      <c r="M37">
        <v>2</v>
      </c>
      <c r="N37">
        <v>2</v>
      </c>
      <c r="O37">
        <v>2</v>
      </c>
      <c r="P37">
        <v>1</v>
      </c>
      <c r="Q37">
        <v>1</v>
      </c>
      <c r="R37">
        <v>1</v>
      </c>
    </row>
    <row r="38" spans="1:20" ht="31.9" customHeight="1" x14ac:dyDescent="0.25">
      <c r="A38">
        <v>16592201</v>
      </c>
      <c r="B38" t="s">
        <v>58</v>
      </c>
      <c r="C38" t="s">
        <v>59</v>
      </c>
      <c r="D38">
        <v>2008</v>
      </c>
      <c r="E38" t="s">
        <v>12</v>
      </c>
      <c r="F38" t="s">
        <v>13</v>
      </c>
      <c r="G38" s="2">
        <v>0.7</v>
      </c>
      <c r="H38" s="1">
        <v>59.1</v>
      </c>
      <c r="I38" s="1">
        <v>2590</v>
      </c>
      <c r="J38">
        <v>29</v>
      </c>
      <c r="K38">
        <v>3</v>
      </c>
      <c r="L38">
        <v>4</v>
      </c>
      <c r="M38">
        <v>4</v>
      </c>
      <c r="N38">
        <v>4</v>
      </c>
      <c r="O38">
        <v>4</v>
      </c>
      <c r="P38">
        <v>2</v>
      </c>
      <c r="Q38">
        <v>4</v>
      </c>
      <c r="R38">
        <v>4</v>
      </c>
    </row>
    <row r="39" spans="1:20" ht="32.1" customHeight="1" x14ac:dyDescent="0.25">
      <c r="A39">
        <v>16592401</v>
      </c>
      <c r="B39" t="s">
        <v>53</v>
      </c>
      <c r="C39" t="s">
        <v>54</v>
      </c>
      <c r="E39" t="s">
        <v>12</v>
      </c>
      <c r="F39" t="s">
        <v>13</v>
      </c>
      <c r="G39" s="2">
        <v>0.7</v>
      </c>
      <c r="H39" s="1">
        <v>46</v>
      </c>
      <c r="I39" s="1">
        <v>3430</v>
      </c>
      <c r="J39">
        <v>35</v>
      </c>
      <c r="K39">
        <v>3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 t="s">
        <v>112</v>
      </c>
    </row>
    <row r="40" spans="1:20" ht="32.1" customHeight="1" x14ac:dyDescent="0.25">
      <c r="A40">
        <v>3458501</v>
      </c>
      <c r="B40" t="s">
        <v>11</v>
      </c>
      <c r="C40" t="s">
        <v>99</v>
      </c>
      <c r="E40" t="s">
        <v>12</v>
      </c>
      <c r="F40" t="s">
        <v>13</v>
      </c>
      <c r="G40" s="2">
        <v>0.7</v>
      </c>
      <c r="H40" s="1">
        <v>43</v>
      </c>
      <c r="I40" s="1">
        <f>VLOOKUP(Tabell2[[#This Row],[Artikkelnr.]],'[1]Brennevin nov'!$A:$AF,28,0)</f>
        <v>3999.9</v>
      </c>
      <c r="J40">
        <v>59</v>
      </c>
      <c r="K40">
        <v>11</v>
      </c>
      <c r="L40">
        <v>12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4</v>
      </c>
    </row>
    <row r="41" spans="1:20" ht="32.1" customHeight="1" x14ac:dyDescent="0.25">
      <c r="A41">
        <v>8299901</v>
      </c>
      <c r="B41" t="s">
        <v>17</v>
      </c>
      <c r="C41" t="s">
        <v>18</v>
      </c>
      <c r="E41" t="s">
        <v>12</v>
      </c>
      <c r="F41" t="s">
        <v>13</v>
      </c>
      <c r="G41" s="2">
        <v>0.7</v>
      </c>
      <c r="H41" s="1">
        <v>46</v>
      </c>
      <c r="I41" s="1">
        <v>4799.8999999999996</v>
      </c>
      <c r="J41">
        <v>6</v>
      </c>
      <c r="K41">
        <v>2</v>
      </c>
      <c r="L41">
        <v>2</v>
      </c>
      <c r="N41">
        <v>2</v>
      </c>
    </row>
    <row r="42" spans="1:20" ht="32.1" customHeight="1" x14ac:dyDescent="0.25">
      <c r="A42">
        <v>16583601</v>
      </c>
      <c r="B42" t="s">
        <v>29</v>
      </c>
      <c r="C42" t="s">
        <v>31</v>
      </c>
      <c r="D42">
        <v>1998</v>
      </c>
      <c r="E42" t="s">
        <v>12</v>
      </c>
      <c r="F42" t="s">
        <v>13</v>
      </c>
      <c r="G42" s="2">
        <v>0.7</v>
      </c>
      <c r="H42" s="1">
        <v>53.9</v>
      </c>
      <c r="I42" s="1">
        <v>4809.8999999999996</v>
      </c>
      <c r="J42">
        <v>10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1</v>
      </c>
    </row>
    <row r="43" spans="1:20" ht="32.1" customHeight="1" x14ac:dyDescent="0.25">
      <c r="A43">
        <v>16604702</v>
      </c>
      <c r="B43" t="s">
        <v>90</v>
      </c>
      <c r="C43" t="s">
        <v>91</v>
      </c>
      <c r="E43" t="s">
        <v>12</v>
      </c>
      <c r="F43" t="s">
        <v>13</v>
      </c>
      <c r="G43" s="2">
        <v>0.5</v>
      </c>
      <c r="H43" s="1">
        <v>43.3</v>
      </c>
      <c r="I43" s="1">
        <f>VLOOKUP(Tabell2[[#This Row],[Artikkelnr.]],'[1]Brennevin nov'!$A:$AF,28,0)</f>
        <v>6999.9</v>
      </c>
      <c r="J43">
        <v>64</v>
      </c>
      <c r="K43">
        <v>11</v>
      </c>
      <c r="L43">
        <v>12</v>
      </c>
      <c r="M43">
        <v>12</v>
      </c>
      <c r="N43">
        <v>12</v>
      </c>
      <c r="P43">
        <v>5</v>
      </c>
      <c r="Q43">
        <v>2</v>
      </c>
      <c r="R43">
        <v>10</v>
      </c>
    </row>
    <row r="44" spans="1:20" ht="32.1" customHeight="1" x14ac:dyDescent="0.25">
      <c r="A44">
        <v>16583701</v>
      </c>
      <c r="B44" t="s">
        <v>29</v>
      </c>
      <c r="C44" t="s">
        <v>32</v>
      </c>
      <c r="D44">
        <v>1994</v>
      </c>
      <c r="E44" t="s">
        <v>12</v>
      </c>
      <c r="F44" t="s">
        <v>13</v>
      </c>
      <c r="G44" s="2">
        <v>0.7</v>
      </c>
      <c r="H44" s="1">
        <v>52.6</v>
      </c>
      <c r="I44" s="1">
        <v>8274.9</v>
      </c>
      <c r="J44">
        <v>10</v>
      </c>
      <c r="K44">
        <v>2</v>
      </c>
      <c r="L44">
        <v>1</v>
      </c>
      <c r="M44">
        <v>2</v>
      </c>
      <c r="N44">
        <v>1</v>
      </c>
      <c r="O44">
        <v>1</v>
      </c>
      <c r="P44">
        <v>1</v>
      </c>
      <c r="Q44">
        <v>1</v>
      </c>
      <c r="R44">
        <v>1</v>
      </c>
    </row>
    <row r="45" spans="1:20" ht="32.1" customHeight="1" x14ac:dyDescent="0.25">
      <c r="A45">
        <v>16591901</v>
      </c>
      <c r="B45" t="s">
        <v>46</v>
      </c>
      <c r="C45" t="s">
        <v>47</v>
      </c>
      <c r="E45" t="s">
        <v>36</v>
      </c>
      <c r="F45" t="s">
        <v>37</v>
      </c>
      <c r="G45" s="2">
        <v>0.7</v>
      </c>
      <c r="H45" s="1">
        <v>52.3</v>
      </c>
      <c r="I45" s="1">
        <v>1899</v>
      </c>
      <c r="J45">
        <v>43</v>
      </c>
      <c r="K45">
        <v>5</v>
      </c>
      <c r="L45">
        <v>6</v>
      </c>
      <c r="M45">
        <v>6</v>
      </c>
      <c r="N45">
        <v>6</v>
      </c>
      <c r="O45">
        <v>6</v>
      </c>
      <c r="P45">
        <v>4</v>
      </c>
      <c r="Q45">
        <v>6</v>
      </c>
      <c r="R45">
        <v>4</v>
      </c>
    </row>
    <row r="46" spans="1:20" ht="32.1" customHeight="1" x14ac:dyDescent="0.25">
      <c r="A46">
        <v>16592001</v>
      </c>
      <c r="B46" t="s">
        <v>46</v>
      </c>
      <c r="C46" t="s">
        <v>48</v>
      </c>
      <c r="E46" t="s">
        <v>36</v>
      </c>
      <c r="F46" t="s">
        <v>37</v>
      </c>
      <c r="G46" s="2">
        <v>0.7</v>
      </c>
      <c r="H46" s="1">
        <v>59.3</v>
      </c>
      <c r="I46" s="1">
        <v>1949</v>
      </c>
      <c r="J46">
        <v>43</v>
      </c>
      <c r="K46">
        <v>5</v>
      </c>
      <c r="L46">
        <v>6</v>
      </c>
      <c r="M46">
        <v>6</v>
      </c>
      <c r="N46">
        <v>6</v>
      </c>
      <c r="O46">
        <v>6</v>
      </c>
      <c r="P46">
        <v>4</v>
      </c>
      <c r="Q46">
        <v>6</v>
      </c>
      <c r="R46">
        <v>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ignoredErrors>
    <ignoredError sqref="I2 I4:I14 I16:I46" calculatedColumn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3592BBF7-77AE-411A-B189-F4A3C340B8BB}"/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2006/documentManagement/types"/>
    <ds:schemaRef ds:uri="http://schemas.microsoft.com/office/infopath/2007/PartnerControls"/>
    <ds:schemaRef ds:uri="6f9d9f57-3724-4ee0-9bc0-8a070f583b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56ee34bc-3c3e-49ed-81f0-4f6da9966ad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Aronsen, Eli</cp:lastModifiedBy>
  <cp:revision/>
  <dcterms:created xsi:type="dcterms:W3CDTF">2023-08-07T12:39:13Z</dcterms:created>
  <dcterms:modified xsi:type="dcterms:W3CDTF">2023-11-17T08:21:53Z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