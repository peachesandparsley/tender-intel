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1 +Øl/"/>
    </mc:Choice>
  </mc:AlternateContent>
  <xr:revisionPtr revIDLastSave="84" documentId="8_{0C21208C-4677-4E9C-A831-9130A7B65A36}" xr6:coauthVersionLast="47" xr6:coauthVersionMax="47" xr10:uidLastSave="{F7A29F91-EF4C-40F6-942A-1E4EEF761EE6}"/>
  <bookViews>
    <workbookView xWindow="-28920" yWindow="-120" windowWidth="29040" windowHeight="17640" xr2:uid="{BE052097-9778-4E71-A305-FED9C9B3892F}"/>
  </bookViews>
  <sheets>
    <sheet name="Lanseringsliste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</calcChain>
</file>

<file path=xl/sharedStrings.xml><?xml version="1.0" encoding="utf-8"?>
<sst xmlns="http://schemas.openxmlformats.org/spreadsheetml/2006/main" count="234" uniqueCount="122">
  <si>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</si>
  <si>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</si>
  <si>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</si>
  <si>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</si>
  <si>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</si>
  <si>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</si>
  <si>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</si>
  <si>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</si>
  <si>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</si>
  <si>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</si>
  <si>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Aker Brygge (114)</t>
  </si>
  <si>
    <t>Fordeling Sandnes Kvadrat (116)</t>
  </si>
  <si>
    <t>Fordeling Storo (161)</t>
  </si>
  <si>
    <t>Fordeling Tromsø Langnes (282)</t>
  </si>
  <si>
    <t>Norge</t>
  </si>
  <si>
    <t>Belgia</t>
  </si>
  <si>
    <t>England</t>
  </si>
  <si>
    <t>Marlobobo</t>
  </si>
  <si>
    <t>Mjød</t>
  </si>
  <si>
    <t>USA</t>
  </si>
  <si>
    <t>Mjøderiet</t>
  </si>
  <si>
    <t>Fordeling Oslo City (143)</t>
  </si>
  <si>
    <t>Fordeling Asker (202)</t>
  </si>
  <si>
    <t>Fordeling Lillehammer (263)</t>
  </si>
  <si>
    <t>Fordeling Drammen (468)</t>
  </si>
  <si>
    <t>Fordeling Bergen Storsenter (121)</t>
  </si>
  <si>
    <t>Fordeling Trondheim Torg (160)</t>
  </si>
  <si>
    <t>Fordeling Ålesund Moa (174)</t>
  </si>
  <si>
    <t>Fordeling Molde (244)</t>
  </si>
  <si>
    <t>Fordeling Kristiansand Lillemarkens (254)</t>
  </si>
  <si>
    <t>Fordeling Bodø City Nord (339)</t>
  </si>
  <si>
    <t>Fordeling Nettbutikk (801)</t>
  </si>
  <si>
    <t>7 Fjell Bryggeri</t>
  </si>
  <si>
    <t>7 Fjell Echos Barrel Aged Quad</t>
  </si>
  <si>
    <t>Duvel Moortgat</t>
  </si>
  <si>
    <t>Duvel Magritte</t>
  </si>
  <si>
    <t>Firestone Walker</t>
  </si>
  <si>
    <t>Firestone Walker Paraboloid</t>
  </si>
  <si>
    <t>2023</t>
  </si>
  <si>
    <t>Frau Gruber</t>
  </si>
  <si>
    <t>FrauGruber Orange Bliss</t>
  </si>
  <si>
    <t>Tyskland</t>
  </si>
  <si>
    <t>FrauGruber Peach Pilot</t>
  </si>
  <si>
    <t>FrauGruber Phantom Lord</t>
  </si>
  <si>
    <t>New Belgium Brewing Co.</t>
  </si>
  <si>
    <t>New Belgium Fat Tire</t>
  </si>
  <si>
    <t>To Øl</t>
  </si>
  <si>
    <t>To Øl x Newbarns Brewery Purple Grain</t>
  </si>
  <si>
    <t>Danmark</t>
  </si>
  <si>
    <t>Brouwerij Boon</t>
  </si>
  <si>
    <t>Boon VAT 108bis</t>
  </si>
  <si>
    <t>Eik &amp; Tid</t>
  </si>
  <si>
    <t>Eik &amp; Tid Rød Sol</t>
  </si>
  <si>
    <t>Bådin</t>
  </si>
  <si>
    <t>Bådin Coalesce 1</t>
  </si>
  <si>
    <t>Bådin Coalesce 2</t>
  </si>
  <si>
    <t>Marlobobo I Asked For Barley Wine And..</t>
  </si>
  <si>
    <t>2022</t>
  </si>
  <si>
    <t>Marlobobo Lil Plum P</t>
  </si>
  <si>
    <t>Marlobobo Norwalien Happiness</t>
  </si>
  <si>
    <t>Marlobobo Very Disco</t>
  </si>
  <si>
    <t>Toppling Goliath Brewing Co</t>
  </si>
  <si>
    <t>Toppling Goliath Term Oil Fluffernutter</t>
  </si>
  <si>
    <t>Ægir Bryggeri</t>
  </si>
  <si>
    <t>Ægir Brageskål Fatlagret Imp. Scotch Ale</t>
  </si>
  <si>
    <t>Ægir Ragnarok Quadrupel 6 YO</t>
  </si>
  <si>
    <t>Beak Brewery</t>
  </si>
  <si>
    <t>Beak The Red Leviathan</t>
  </si>
  <si>
    <t>Brouwereji Alvinne</t>
  </si>
  <si>
    <t>Alvinne Cuvée De Mortage Carcavelos BA</t>
  </si>
  <si>
    <t>Mills Brewing</t>
  </si>
  <si>
    <t>Mills Underdone</t>
  </si>
  <si>
    <t>Old Chimneys Brewery</t>
  </si>
  <si>
    <t>Old Chimneys Good King Henry V</t>
  </si>
  <si>
    <t>Rivington Brewing Co</t>
  </si>
  <si>
    <t>Rivington x Siren Army Of Darkness</t>
  </si>
  <si>
    <t>Three Hills Brewing</t>
  </si>
  <si>
    <t>Three Hills Forbidden Ice Cream Pineap..</t>
  </si>
  <si>
    <t>Lindheim ølkompani</t>
  </si>
  <si>
    <t>Lindheim Impure Rouge</t>
  </si>
  <si>
    <t>Amager Bryghus</t>
  </si>
  <si>
    <t>Amager Bryghus Apache Kid</t>
  </si>
  <si>
    <t>Amager Bryghus Burt Alvord</t>
  </si>
  <si>
    <t>Amager Bryghus Double Black Mash</t>
  </si>
  <si>
    <t>Amager Bryghus Rose of Cimarron</t>
  </si>
  <si>
    <t>Amager Bryghus Sally Skull</t>
  </si>
  <si>
    <t>Amager Bryghus The Mormon Kid</t>
  </si>
  <si>
    <t>Jopen B.V.</t>
  </si>
  <si>
    <t>Jopen Zwarte Zeil BA Bourbon</t>
  </si>
  <si>
    <t>Nederland</t>
  </si>
  <si>
    <t>The Bruery</t>
  </si>
  <si>
    <t>The Bruery Chocolate Rain Imperial Stout</t>
  </si>
  <si>
    <t>2018</t>
  </si>
  <si>
    <t>Ølsmia</t>
  </si>
  <si>
    <t>Ølsmia Batikk</t>
  </si>
  <si>
    <t>Ølsmia Beist</t>
  </si>
  <si>
    <t>Mjøderiet Freyja</t>
  </si>
  <si>
    <t>Brasserie Cantillon Brouwerij</t>
  </si>
  <si>
    <t>Cantillon Fou'foune</t>
  </si>
  <si>
    <t>Cantillon Iris</t>
  </si>
  <si>
    <t>Cantillon Gueuze-Lambic BIO</t>
  </si>
  <si>
    <t>Nøisom</t>
  </si>
  <si>
    <t>Nøisom Corvus 3.0</t>
  </si>
  <si>
    <t>Brutes</t>
  </si>
  <si>
    <t>Brutes Alright Alright Alright</t>
  </si>
  <si>
    <t>Sverige</t>
  </si>
  <si>
    <t>Brutes Blood of Jupiter</t>
  </si>
  <si>
    <t>Huyghe</t>
  </si>
  <si>
    <t>Delirium Blond Barrel Aged</t>
  </si>
  <si>
    <t>Samuel Smiths Brewery</t>
  </si>
  <si>
    <t>Samuel Smith's Stingo</t>
  </si>
  <si>
    <t>Vocation Brewery</t>
  </si>
  <si>
    <t>Vocation American Brown Ale</t>
  </si>
  <si>
    <t>Vocation Vanilla Smoked Imp. Stout BA</t>
  </si>
  <si>
    <t>Øl, overgjæret</t>
  </si>
  <si>
    <t>Øl, undergjæret</t>
  </si>
  <si>
    <t>Øl, spontangjæret</t>
  </si>
  <si>
    <t>Sider</t>
  </si>
  <si>
    <t/>
  </si>
  <si>
    <t>Jopen Don't tRye This at Home</t>
  </si>
  <si>
    <t>Kommentar</t>
  </si>
  <si>
    <t>Forsinket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</si>
</sst>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164" formatCode="0.00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-my.sharepoint.com/personal/nicolas_gimle_vinmonopolet_no/Documents/Skrivebord/SAP%20GUI/EXPORTLansLang&#216;l.XLSX" TargetMode="External"/><Relationship Id="rId1" Type="http://schemas.openxmlformats.org/officeDocument/2006/relationships/externalLinkPath" Target="https://vmp-my.sharepoint.com/personal/nicolas_gimle_vinmonopolet_no/Documents/Skrivebord/SAP%20GUI/EXPORTLansLang&#216;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5rwcBpCe1EGm63kNnBmgKQf_vbOe65REieyRAXJXButi01OXP_d6T6aGNR2lszl9" itemId="01W7AIQIIFDPATPQX6TVDKBMEO6R6VVABH">
      <xxl21:absoluteUrl r:id="rId2"/>
    </xxl21:alternateUrls>
    <sheetNames>
      <sheetName val="Sheet1"/>
    </sheetNames>
    <sheetDataSet>
      <sheetData sheetId="0">
        <row r="1">
          <cell r="A1" t="str">
            <v>Artikkelnr</v>
          </cell>
          <cell r="B1" t="str">
            <v>Løpenr</v>
          </cell>
          <cell r="C1" t="str">
            <v>Artikkelnavn</v>
          </cell>
          <cell r="D1" t="str">
            <v>Korttekst</v>
          </cell>
          <cell r="E1" t="str">
            <v>Bongtekst</v>
          </cell>
          <cell r="F1" t="str">
            <v>Introdato</v>
          </cell>
          <cell r="G1" t="str">
            <v>Utvalg ID</v>
          </cell>
          <cell r="H1" t="str">
            <v>Utvalg</v>
          </cell>
          <cell r="I1" t="str">
            <v>Utvalg fra</v>
          </cell>
          <cell r="J1" t="str">
            <v>Utvalg til</v>
          </cell>
          <cell r="K1" t="str">
            <v>Fredet til</v>
          </cell>
          <cell r="L1" t="str">
            <v>Kategori</v>
          </cell>
          <cell r="M1" t="str">
            <v>Soritmentsnivå L&amp;L</v>
          </cell>
          <cell r="N1" t="str">
            <v>Soritmentsnivå R&amp;M</v>
          </cell>
          <cell r="O1" t="str">
            <v>Fastpris gyldig-til dato</v>
          </cell>
          <cell r="P1" t="str">
            <v>Hovedvaregruppe</v>
          </cell>
          <cell r="Q1" t="str">
            <v>Varegruppe</v>
          </cell>
          <cell r="R1" t="str">
            <v>Subvaregruppe</v>
          </cell>
          <cell r="S1" t="str">
            <v>Varegruppenr</v>
          </cell>
          <cell r="T1" t="str">
            <v>Produktgruppenr</v>
          </cell>
          <cell r="U1" t="str">
            <v>Produktgruppe</v>
          </cell>
          <cell r="V1" t="str">
            <v>Hovedvariant</v>
          </cell>
          <cell r="W1" t="str">
            <v>Årgang</v>
          </cell>
          <cell r="X1" t="str">
            <v>Årgangsstyrt</v>
          </cell>
          <cell r="Y1" t="str">
            <v>Land</v>
          </cell>
          <cell r="Z1" t="str">
            <v>Distrikt</v>
          </cell>
          <cell r="AA1" t="str">
            <v>Underdistrikt</v>
          </cell>
          <cell r="AB1" t="str">
            <v>Kvalitetsbetegnelse</v>
          </cell>
          <cell r="AC1" t="str">
            <v>Lokalt produsert</v>
          </cell>
          <cell r="AD1" t="str">
            <v>Produsentnr</v>
          </cell>
          <cell r="AE1" t="str">
            <v>Produsent</v>
          </cell>
          <cell r="AF1" t="str">
            <v>Farge</v>
          </cell>
          <cell r="AG1" t="str">
            <v>Lukt</v>
          </cell>
          <cell r="AH1" t="str">
            <v>Smak</v>
          </cell>
          <cell r="AI1" t="str">
            <v>Karakteristikk (gml)</v>
          </cell>
          <cell r="AJ1" t="str">
            <v>Produksjonsmetode</v>
          </cell>
          <cell r="AK1" t="str">
            <v>Tilsetningsstoffer</v>
          </cell>
          <cell r="AL1" t="str">
            <v>Allergener</v>
          </cell>
          <cell r="AM1" t="str">
            <v>Ingredienser</v>
          </cell>
          <cell r="AN1" t="str">
            <v>Farge, nn</v>
          </cell>
          <cell r="AO1" t="str">
            <v>Lukt, nn</v>
          </cell>
          <cell r="AP1" t="str">
            <v>Smak, nn</v>
          </cell>
          <cell r="AQ1" t="str">
            <v>Druetype 1</v>
          </cell>
          <cell r="AR1" t="str">
            <v>Druetype 1 %</v>
          </cell>
          <cell r="AS1" t="str">
            <v>Druetype 2</v>
          </cell>
          <cell r="AT1" t="str">
            <v>Druetype 2 %</v>
          </cell>
          <cell r="AU1" t="str">
            <v>Druetype 3</v>
          </cell>
          <cell r="AV1" t="str">
            <v>Druetype 3 %</v>
          </cell>
          <cell r="AW1" t="str">
            <v>Druetype 4</v>
          </cell>
          <cell r="AX1" t="str">
            <v>Druetype 4 %</v>
          </cell>
          <cell r="AY1" t="str">
            <v>Druetype 5</v>
          </cell>
          <cell r="AZ1" t="str">
            <v>Druetype 5 %</v>
          </cell>
          <cell r="BA1" t="str">
            <v>Bitterhet</v>
          </cell>
          <cell r="BB1" t="str">
            <v>Friskhet</v>
          </cell>
          <cell r="BC1" t="str">
            <v>Fylde</v>
          </cell>
          <cell r="BD1" t="str">
            <v>Garvestoffer</v>
          </cell>
          <cell r="BE1" t="str">
            <v>Sødme</v>
          </cell>
          <cell r="BF1" t="str">
            <v>Sukker (g/l)</v>
          </cell>
          <cell r="BG1" t="str">
            <v>Syre (g/l)</v>
          </cell>
          <cell r="BH1" t="str">
            <v>Energi (kcal/100 ml)</v>
          </cell>
          <cell r="BI1" t="str">
            <v>Protein (g/100 ml)</v>
          </cell>
          <cell r="BJ1" t="str">
            <v>Karbohydrater (g/100 ml)</v>
          </cell>
          <cell r="BK1" t="str">
            <v>Fett (g/100 ml)</v>
          </cell>
          <cell r="BL1" t="str">
            <v>Stilgruppe</v>
          </cell>
          <cell r="BM1" t="str">
            <v>Bruksområde 1</v>
          </cell>
          <cell r="BN1" t="str">
            <v>Bruksområde 2</v>
          </cell>
          <cell r="BO1" t="str">
            <v>Bruksområde 3</v>
          </cell>
          <cell r="BP1" t="str">
            <v>KonsumID</v>
          </cell>
          <cell r="BQ1" t="str">
            <v>Søt vin</v>
          </cell>
          <cell r="BR1" t="str">
            <v>Økologisk</v>
          </cell>
          <cell r="BS1" t="str">
            <v>Biodynamisk</v>
          </cell>
          <cell r="BT1" t="str">
            <v>Sertifisert etisk</v>
          </cell>
          <cell r="BU1" t="str">
            <v>Kosher</v>
          </cell>
          <cell r="BV1" t="str">
            <v>Glutenfri</v>
          </cell>
          <cell r="BW1" t="str">
            <v>Ikke tilsatt svovel</v>
          </cell>
          <cell r="BX1" t="str">
            <v>Emballasjetype ID</v>
          </cell>
          <cell r="BY1" t="str">
            <v>Emballasjetype</v>
          </cell>
          <cell r="BZ1" t="str">
            <v>Miljøsmart emballasje</v>
          </cell>
          <cell r="CA1" t="str">
            <v>Emballasjevekt (g)</v>
          </cell>
          <cell r="CB1" t="str">
            <v>Ant. enh. flerfl.</v>
          </cell>
          <cell r="CC1" t="str">
            <v>Lukkemekanisme</v>
          </cell>
          <cell r="CD1" t="str">
            <v>Alkoholprosent</v>
          </cell>
        </row>
        <row r="2">
          <cell r="A2">
            <v>5193902</v>
          </cell>
          <cell r="B2" t="str">
            <v>51939</v>
          </cell>
          <cell r="C2" t="str">
            <v>New Belgium Fat Tire</v>
          </cell>
          <cell r="D2" t="str">
            <v>New Belgium Fat Tire</v>
          </cell>
          <cell r="E2" t="str">
            <v>New Belgium Fat Tire</v>
          </cell>
          <cell r="F2">
            <v>45316</v>
          </cell>
          <cell r="G2" t="str">
            <v>31</v>
          </cell>
          <cell r="H2" t="str">
            <v>Spesialutvalg</v>
          </cell>
          <cell r="I2">
            <v>45250</v>
          </cell>
          <cell r="J2">
            <v>2958465</v>
          </cell>
          <cell r="K2"/>
          <cell r="L2" t="str">
            <v/>
          </cell>
          <cell r="M2" t="str">
            <v/>
          </cell>
          <cell r="N2" t="str">
            <v/>
          </cell>
          <cell r="O2"/>
          <cell r="P2" t="str">
            <v>Øl</v>
          </cell>
          <cell r="Q2" t="str">
            <v>Øl</v>
          </cell>
          <cell r="R2" t="str">
            <v>Red/amber</v>
          </cell>
          <cell r="S2" t="str">
            <v>50140</v>
          </cell>
          <cell r="T2" t="str">
            <v>85</v>
          </cell>
          <cell r="U2" t="str">
            <v>Øl, overgjæret</v>
          </cell>
          <cell r="V2" t="str">
            <v>X</v>
          </cell>
          <cell r="W2" t="str">
            <v>0</v>
          </cell>
          <cell r="X2" t="str">
            <v/>
          </cell>
          <cell r="Y2" t="str">
            <v>USA</v>
          </cell>
          <cell r="Z2" t="str">
            <v>California</v>
          </cell>
          <cell r="AA2" t="str">
            <v>Øvrige</v>
          </cell>
          <cell r="AB2" t="str">
            <v/>
          </cell>
          <cell r="AC2" t="str">
            <v/>
          </cell>
          <cell r="AD2" t="str">
            <v>602472</v>
          </cell>
          <cell r="AE2" t="str">
            <v>New Belgium Brewing Co.</v>
          </cell>
          <cell r="AF2" t="str">
            <v>Gulbrun.</v>
          </cell>
          <cell r="AG2" t="str">
            <v>Innslag av tørket frukt, karamell, appelsin, kanel og urter.</v>
          </cell>
          <cell r="AH2" t="str">
            <v>Innslag av tørket frukt, mandarin og urter.</v>
          </cell>
          <cell r="AI2" t="str">
            <v/>
          </cell>
          <cell r="AJ2" t="str">
            <v/>
          </cell>
          <cell r="AK2" t="str">
            <v/>
          </cell>
          <cell r="AL2" t="str">
            <v>Gluten</v>
          </cell>
          <cell r="AM2" t="str">
            <v>Vann, malt, humle, gjær</v>
          </cell>
          <cell r="AN2" t="str">
            <v/>
          </cell>
          <cell r="AO2" t="str">
            <v/>
          </cell>
          <cell r="AP2" t="str">
            <v/>
          </cell>
          <cell r="AQ2" t="str">
            <v/>
          </cell>
          <cell r="AR2" t="str">
            <v>0</v>
          </cell>
          <cell r="AS2" t="str">
            <v/>
          </cell>
          <cell r="AT2" t="str">
            <v>0</v>
          </cell>
          <cell r="AU2" t="str">
            <v/>
          </cell>
          <cell r="AV2" t="str">
            <v>0</v>
          </cell>
          <cell r="AW2" t="str">
            <v/>
          </cell>
          <cell r="AX2" t="str">
            <v>0</v>
          </cell>
          <cell r="AY2" t="str">
            <v/>
          </cell>
          <cell r="AZ2" t="str">
            <v>0</v>
          </cell>
          <cell r="BA2" t="str">
            <v>03</v>
          </cell>
          <cell r="BB2" t="str">
            <v>07</v>
          </cell>
          <cell r="BC2" t="str">
            <v>05</v>
          </cell>
          <cell r="BD2" t="str">
            <v/>
          </cell>
          <cell r="BE2" t="str">
            <v/>
          </cell>
          <cell r="BF2" t="str">
            <v/>
          </cell>
          <cell r="BG2" t="str">
            <v/>
          </cell>
          <cell r="BH2" t="str">
            <v/>
          </cell>
          <cell r="BI2" t="str">
            <v/>
          </cell>
          <cell r="BJ2" t="str">
            <v/>
          </cell>
          <cell r="BK2" t="str">
            <v/>
          </cell>
          <cell r="BL2" t="str">
            <v/>
          </cell>
          <cell r="BM2" t="str">
            <v>G</v>
          </cell>
          <cell r="BN2" t="str">
            <v>Q</v>
          </cell>
          <cell r="BO2" t="str">
            <v>A</v>
          </cell>
          <cell r="BP2" t="str">
            <v>X</v>
          </cell>
          <cell r="BQ2" t="str">
            <v/>
          </cell>
          <cell r="BR2" t="str">
            <v/>
          </cell>
          <cell r="BS2" t="str">
            <v/>
          </cell>
          <cell r="BT2" t="str">
            <v/>
          </cell>
          <cell r="BU2" t="str">
            <v/>
          </cell>
          <cell r="BV2" t="str">
            <v/>
          </cell>
          <cell r="BW2" t="str">
            <v/>
          </cell>
          <cell r="BX2" t="str">
            <v>09</v>
          </cell>
          <cell r="BY2" t="str">
            <v>Metall</v>
          </cell>
          <cell r="BZ2" t="str">
            <v>X</v>
          </cell>
          <cell r="CA2">
            <v>26</v>
          </cell>
          <cell r="CB2" t="str">
            <v>1</v>
          </cell>
          <cell r="CC2" t="str">
            <v/>
          </cell>
          <cell r="CD2">
            <v>5.2</v>
          </cell>
        </row>
        <row r="3">
          <cell r="A3">
            <v>10177301</v>
          </cell>
          <cell r="B3" t="str">
            <v>101773</v>
          </cell>
          <cell r="C3" t="str">
            <v>Samuel Smith's Stingo</v>
          </cell>
          <cell r="D3" t="str">
            <v>Samuel Smith's Stingo</v>
          </cell>
          <cell r="E3" t="str">
            <v>Samuel Smith's Stingo</v>
          </cell>
          <cell r="F3">
            <v>45316</v>
          </cell>
          <cell r="G3" t="str">
            <v>31</v>
          </cell>
          <cell r="H3" t="str">
            <v>Spesialutvalg</v>
          </cell>
          <cell r="I3">
            <v>45264</v>
          </cell>
          <cell r="J3">
            <v>2958465</v>
          </cell>
          <cell r="K3"/>
          <cell r="L3" t="str">
            <v>C</v>
          </cell>
          <cell r="M3" t="str">
            <v/>
          </cell>
          <cell r="N3" t="str">
            <v/>
          </cell>
          <cell r="O3"/>
          <cell r="P3" t="str">
            <v>Øl</v>
          </cell>
          <cell r="Q3" t="str">
            <v>Øl</v>
          </cell>
          <cell r="R3" t="str">
            <v>Barley wine</v>
          </cell>
          <cell r="S3" t="str">
            <v>50137</v>
          </cell>
          <cell r="T3" t="str">
            <v>85</v>
          </cell>
          <cell r="U3" t="str">
            <v>Øl, overgjæret</v>
          </cell>
          <cell r="V3" t="str">
            <v>X</v>
          </cell>
          <cell r="W3" t="str">
            <v>0</v>
          </cell>
          <cell r="X3" t="str">
            <v/>
          </cell>
          <cell r="Y3" t="str">
            <v>England</v>
          </cell>
          <cell r="Z3" t="str">
            <v>Øvrige</v>
          </cell>
          <cell r="AA3" t="str">
            <v/>
          </cell>
          <cell r="AB3" t="str">
            <v/>
          </cell>
          <cell r="AC3" t="str">
            <v/>
          </cell>
          <cell r="AD3" t="str">
            <v>67956</v>
          </cell>
          <cell r="AE3" t="str">
            <v>Samuel Smiths Brewery</v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>Gluten</v>
          </cell>
          <cell r="AM3" t="str">
            <v/>
          </cell>
          <cell r="AN3" t="str">
            <v/>
          </cell>
          <cell r="AO3" t="str">
            <v/>
          </cell>
          <cell r="AP3" t="str">
            <v/>
          </cell>
          <cell r="AQ3" t="str">
            <v/>
          </cell>
          <cell r="AR3" t="str">
            <v>0</v>
          </cell>
          <cell r="AS3" t="str">
            <v/>
          </cell>
          <cell r="AT3" t="str">
            <v>0</v>
          </cell>
          <cell r="AU3" t="str">
            <v/>
          </cell>
          <cell r="AV3" t="str">
            <v>0</v>
          </cell>
          <cell r="AW3" t="str">
            <v/>
          </cell>
          <cell r="AX3" t="str">
            <v>0</v>
          </cell>
          <cell r="AY3" t="str">
            <v/>
          </cell>
          <cell r="AZ3" t="str">
            <v>0</v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>Y</v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>03</v>
          </cell>
          <cell r="BY3" t="str">
            <v>Glass</v>
          </cell>
          <cell r="BZ3" t="str">
            <v/>
          </cell>
          <cell r="CA3">
            <v>443</v>
          </cell>
          <cell r="CB3" t="str">
            <v>1</v>
          </cell>
          <cell r="CC3" t="str">
            <v/>
          </cell>
          <cell r="CD3">
            <v>8</v>
          </cell>
        </row>
        <row r="4">
          <cell r="A4">
            <v>11804301</v>
          </cell>
          <cell r="B4" t="str">
            <v>118043</v>
          </cell>
          <cell r="C4" t="str">
            <v>Eik &amp; Tid Rød Sol</v>
          </cell>
          <cell r="D4" t="str">
            <v>Eik &amp; Tid Rød Sol</v>
          </cell>
          <cell r="E4" t="str">
            <v>Eik &amp; Tid Rød Sol</v>
          </cell>
          <cell r="F4">
            <v>45316</v>
          </cell>
          <cell r="G4" t="str">
            <v>31</v>
          </cell>
          <cell r="H4" t="str">
            <v>Spesialutvalg</v>
          </cell>
          <cell r="I4">
            <v>45260</v>
          </cell>
          <cell r="J4">
            <v>2958465</v>
          </cell>
          <cell r="K4"/>
          <cell r="L4" t="str">
            <v/>
          </cell>
          <cell r="M4" t="str">
            <v/>
          </cell>
          <cell r="N4" t="str">
            <v/>
          </cell>
          <cell r="O4"/>
          <cell r="P4" t="str">
            <v>Øl</v>
          </cell>
          <cell r="Q4" t="str">
            <v>Øl</v>
          </cell>
          <cell r="R4" t="str">
            <v>Surøl</v>
          </cell>
          <cell r="S4" t="str">
            <v>50122</v>
          </cell>
          <cell r="T4" t="str">
            <v>85</v>
          </cell>
          <cell r="U4" t="str">
            <v>Øl, overgjæret</v>
          </cell>
          <cell r="V4" t="str">
            <v>X</v>
          </cell>
          <cell r="W4" t="str">
            <v>0</v>
          </cell>
          <cell r="X4" t="str">
            <v/>
          </cell>
          <cell r="Y4" t="str">
            <v>Norge</v>
          </cell>
          <cell r="Z4" t="str">
            <v>Oslo</v>
          </cell>
          <cell r="AA4" t="str">
            <v/>
          </cell>
          <cell r="AB4" t="str">
            <v/>
          </cell>
          <cell r="AC4" t="str">
            <v/>
          </cell>
          <cell r="AD4" t="str">
            <v>604057</v>
          </cell>
          <cell r="AE4" t="str">
            <v>Eik &amp; Tid</v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>Gluten</v>
          </cell>
          <cell r="AM4" t="str">
            <v/>
          </cell>
          <cell r="AN4" t="str">
            <v/>
          </cell>
          <cell r="AO4" t="str">
            <v/>
          </cell>
          <cell r="AP4" t="str">
            <v/>
          </cell>
          <cell r="AQ4" t="str">
            <v/>
          </cell>
          <cell r="AR4" t="str">
            <v>0</v>
          </cell>
          <cell r="AS4" t="str">
            <v/>
          </cell>
          <cell r="AT4" t="str">
            <v>0</v>
          </cell>
          <cell r="AU4" t="str">
            <v/>
          </cell>
          <cell r="AV4" t="str">
            <v>0</v>
          </cell>
          <cell r="AW4" t="str">
            <v/>
          </cell>
          <cell r="AX4" t="str">
            <v>0</v>
          </cell>
          <cell r="AY4" t="str">
            <v/>
          </cell>
          <cell r="AZ4" t="str">
            <v>0</v>
          </cell>
          <cell r="BA4" t="str">
            <v/>
          </cell>
          <cell r="BB4" t="str">
            <v/>
          </cell>
          <cell r="BC4" t="str">
            <v/>
          </cell>
          <cell r="BD4" t="str">
            <v/>
          </cell>
          <cell r="BE4" t="str">
            <v/>
          </cell>
          <cell r="BF4" t="str">
            <v/>
          </cell>
          <cell r="BG4" t="str">
            <v/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>Y</v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>03</v>
          </cell>
          <cell r="BY4" t="str">
            <v>Glass</v>
          </cell>
          <cell r="BZ4" t="str">
            <v/>
          </cell>
          <cell r="CA4">
            <v>0</v>
          </cell>
          <cell r="CB4" t="str">
            <v>1</v>
          </cell>
          <cell r="CC4" t="str">
            <v/>
          </cell>
          <cell r="CD4">
            <v>6.3</v>
          </cell>
        </row>
        <row r="5">
          <cell r="A5">
            <v>12221002</v>
          </cell>
          <cell r="B5" t="str">
            <v/>
          </cell>
          <cell r="C5" t="str">
            <v>Boon Oude Geuze VAT 108bis</v>
          </cell>
          <cell r="D5" t="str">
            <v>Boon VAT 108bis</v>
          </cell>
          <cell r="E5" t="str">
            <v>Boon VAT 108bis</v>
          </cell>
          <cell r="F5">
            <v>45316</v>
          </cell>
          <cell r="G5" t="str">
            <v>31</v>
          </cell>
          <cell r="H5" t="str">
            <v>Spesialutvalg</v>
          </cell>
          <cell r="I5">
            <v>45260</v>
          </cell>
          <cell r="J5">
            <v>2958465</v>
          </cell>
          <cell r="K5"/>
          <cell r="L5" t="str">
            <v/>
          </cell>
          <cell r="M5" t="str">
            <v/>
          </cell>
          <cell r="N5" t="str">
            <v/>
          </cell>
          <cell r="O5"/>
          <cell r="P5" t="str">
            <v>Øl</v>
          </cell>
          <cell r="Q5" t="str">
            <v>Øl</v>
          </cell>
          <cell r="R5" t="str">
            <v>Surøl</v>
          </cell>
          <cell r="S5" t="str">
            <v>50122</v>
          </cell>
          <cell r="T5" t="str">
            <v>141</v>
          </cell>
          <cell r="U5" t="str">
            <v>Øl, spontangjæret</v>
          </cell>
          <cell r="V5" t="str">
            <v>X</v>
          </cell>
          <cell r="W5" t="str">
            <v>0</v>
          </cell>
          <cell r="X5" t="str">
            <v/>
          </cell>
          <cell r="Y5" t="str">
            <v>Belgia</v>
          </cell>
          <cell r="Z5" t="str">
            <v>Øvrige</v>
          </cell>
          <cell r="AA5" t="str">
            <v/>
          </cell>
          <cell r="AB5" t="str">
            <v/>
          </cell>
          <cell r="AC5" t="str">
            <v/>
          </cell>
          <cell r="AD5" t="str">
            <v>601399</v>
          </cell>
          <cell r="AE5" t="str">
            <v>Brouwerij Boon</v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  <cell r="AL5" t="str">
            <v>Gluten</v>
          </cell>
          <cell r="AM5" t="str">
            <v/>
          </cell>
          <cell r="AN5" t="str">
            <v/>
          </cell>
          <cell r="AO5" t="str">
            <v/>
          </cell>
          <cell r="AP5" t="str">
            <v/>
          </cell>
          <cell r="AQ5" t="str">
            <v/>
          </cell>
          <cell r="AR5" t="str">
            <v>0</v>
          </cell>
          <cell r="AS5" t="str">
            <v/>
          </cell>
          <cell r="AT5" t="str">
            <v>0</v>
          </cell>
          <cell r="AU5" t="str">
            <v/>
          </cell>
          <cell r="AV5" t="str">
            <v>0</v>
          </cell>
          <cell r="AW5" t="str">
            <v/>
          </cell>
          <cell r="AX5" t="str">
            <v>0</v>
          </cell>
          <cell r="AY5" t="str">
            <v/>
          </cell>
          <cell r="AZ5" t="str">
            <v>0</v>
          </cell>
          <cell r="BA5" t="str">
            <v/>
          </cell>
          <cell r="BB5" t="str">
            <v/>
          </cell>
          <cell r="BC5" t="str">
            <v/>
          </cell>
          <cell r="BD5" t="str">
            <v/>
          </cell>
          <cell r="BE5" t="str">
            <v/>
          </cell>
          <cell r="BF5" t="str">
            <v/>
          </cell>
          <cell r="BG5" t="str">
            <v/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>Z</v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>03</v>
          </cell>
          <cell r="BY5" t="str">
            <v>Glass</v>
          </cell>
          <cell r="BZ5" t="str">
            <v/>
          </cell>
          <cell r="CA5">
            <v>485</v>
          </cell>
          <cell r="CB5" t="str">
            <v>1</v>
          </cell>
          <cell r="CC5" t="str">
            <v/>
          </cell>
          <cell r="CD5">
            <v>8</v>
          </cell>
        </row>
        <row r="6">
          <cell r="A6">
            <v>16730002</v>
          </cell>
          <cell r="B6" t="str">
            <v/>
          </cell>
          <cell r="C6" t="str">
            <v>FrauGruber Phantom Lord</v>
          </cell>
          <cell r="D6" t="str">
            <v>FrauGruber Phantom Lord</v>
          </cell>
          <cell r="E6" t="str">
            <v>FrauGruber Phantom Lord</v>
          </cell>
          <cell r="F6">
            <v>45316</v>
          </cell>
          <cell r="G6" t="str">
            <v>31</v>
          </cell>
          <cell r="H6" t="str">
            <v>Spesialutvalg</v>
          </cell>
          <cell r="I6">
            <v>45250</v>
          </cell>
          <cell r="J6">
            <v>2958465</v>
          </cell>
          <cell r="K6"/>
          <cell r="L6" t="str">
            <v/>
          </cell>
          <cell r="M6" t="str">
            <v/>
          </cell>
          <cell r="N6" t="str">
            <v/>
          </cell>
          <cell r="O6"/>
          <cell r="P6" t="str">
            <v>Øl</v>
          </cell>
          <cell r="Q6" t="str">
            <v>Øl</v>
          </cell>
          <cell r="R6" t="str">
            <v>Porter &amp; stout</v>
          </cell>
          <cell r="S6" t="str">
            <v>50134</v>
          </cell>
          <cell r="T6" t="str">
            <v>85</v>
          </cell>
          <cell r="U6" t="str">
            <v>Øl, overgjæret</v>
          </cell>
          <cell r="V6" t="str">
            <v>X</v>
          </cell>
          <cell r="W6" t="str">
            <v>0</v>
          </cell>
          <cell r="X6" t="str">
            <v/>
          </cell>
          <cell r="Y6" t="str">
            <v>Tyskland</v>
          </cell>
          <cell r="Z6" t="str">
            <v>Øvrige</v>
          </cell>
          <cell r="AA6" t="str">
            <v/>
          </cell>
          <cell r="AB6" t="str">
            <v/>
          </cell>
          <cell r="AC6" t="str">
            <v/>
          </cell>
          <cell r="AD6" t="str">
            <v>604878</v>
          </cell>
          <cell r="AE6" t="str">
            <v>Frau Gruber</v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>Gluten</v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>0</v>
          </cell>
          <cell r="AS6" t="str">
            <v/>
          </cell>
          <cell r="AT6" t="str">
            <v>0</v>
          </cell>
          <cell r="AU6" t="str">
            <v/>
          </cell>
          <cell r="AV6" t="str">
            <v>0</v>
          </cell>
          <cell r="AW6" t="str">
            <v/>
          </cell>
          <cell r="AX6" t="str">
            <v>0</v>
          </cell>
          <cell r="AY6" t="str">
            <v/>
          </cell>
          <cell r="AZ6" t="str">
            <v>0</v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>Y</v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>03</v>
          </cell>
          <cell r="BY6" t="str">
            <v>Glass</v>
          </cell>
          <cell r="BZ6" t="str">
            <v/>
          </cell>
          <cell r="CA6">
            <v>0</v>
          </cell>
          <cell r="CB6" t="str">
            <v>1</v>
          </cell>
          <cell r="CC6" t="str">
            <v/>
          </cell>
          <cell r="CD6">
            <v>13.8</v>
          </cell>
        </row>
        <row r="7">
          <cell r="A7">
            <v>16730102</v>
          </cell>
          <cell r="B7" t="str">
            <v/>
          </cell>
          <cell r="C7" t="str">
            <v>To Øl x Newbarns Brewery Purple Grain</v>
          </cell>
          <cell r="D7" t="str">
            <v>To Øl x Newbarns Brewery Purple Grain</v>
          </cell>
          <cell r="E7" t="str">
            <v>To Øl x Newbarns Brewery Purple Grain</v>
          </cell>
          <cell r="F7">
            <v>45316</v>
          </cell>
          <cell r="G7" t="str">
            <v>31</v>
          </cell>
          <cell r="H7" t="str">
            <v>Spesialutvalg</v>
          </cell>
          <cell r="I7">
            <v>45250</v>
          </cell>
          <cell r="J7">
            <v>2958465</v>
          </cell>
          <cell r="K7"/>
          <cell r="L7" t="str">
            <v/>
          </cell>
          <cell r="M7" t="str">
            <v/>
          </cell>
          <cell r="N7" t="str">
            <v/>
          </cell>
          <cell r="O7"/>
          <cell r="P7" t="str">
            <v>Øl</v>
          </cell>
          <cell r="Q7" t="str">
            <v>Øl</v>
          </cell>
          <cell r="R7" t="str">
            <v>Lys lager</v>
          </cell>
          <cell r="S7" t="str">
            <v>50104</v>
          </cell>
          <cell r="T7" t="str">
            <v>86</v>
          </cell>
          <cell r="U7" t="str">
            <v>Øl, undergjæret</v>
          </cell>
          <cell r="V7" t="str">
            <v>X</v>
          </cell>
          <cell r="W7" t="str">
            <v>0</v>
          </cell>
          <cell r="X7" t="str">
            <v/>
          </cell>
          <cell r="Y7" t="str">
            <v>Danmark</v>
          </cell>
          <cell r="Z7" t="str">
            <v>Øvrige</v>
          </cell>
          <cell r="AA7" t="str">
            <v/>
          </cell>
          <cell r="AB7" t="str">
            <v/>
          </cell>
          <cell r="AC7" t="str">
            <v/>
          </cell>
          <cell r="AD7" t="str">
            <v>600386</v>
          </cell>
          <cell r="AE7" t="str">
            <v>To Øl</v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>Gluten</v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>0</v>
          </cell>
          <cell r="AS7" t="str">
            <v/>
          </cell>
          <cell r="AT7" t="str">
            <v>0</v>
          </cell>
          <cell r="AU7" t="str">
            <v/>
          </cell>
          <cell r="AV7" t="str">
            <v>0</v>
          </cell>
          <cell r="AW7" t="str">
            <v/>
          </cell>
          <cell r="AX7" t="str">
            <v>0</v>
          </cell>
          <cell r="AY7" t="str">
            <v/>
          </cell>
          <cell r="AZ7" t="str">
            <v>0</v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>X</v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>09</v>
          </cell>
          <cell r="BY7" t="str">
            <v>Metall</v>
          </cell>
          <cell r="BZ7" t="str">
            <v>X</v>
          </cell>
          <cell r="CA7">
            <v>0</v>
          </cell>
          <cell r="CB7" t="str">
            <v>1</v>
          </cell>
          <cell r="CC7" t="str">
            <v/>
          </cell>
          <cell r="CD7">
            <v>4.9000000000000004</v>
          </cell>
        </row>
        <row r="8">
          <cell r="A8">
            <v>16730202</v>
          </cell>
          <cell r="B8" t="str">
            <v/>
          </cell>
          <cell r="C8" t="str">
            <v>FrauGruber Orange Bliss</v>
          </cell>
          <cell r="D8" t="str">
            <v>FrauGruber Orange Bliss</v>
          </cell>
          <cell r="E8" t="str">
            <v>FrauGruber Orange Bliss</v>
          </cell>
          <cell r="F8">
            <v>45316</v>
          </cell>
          <cell r="G8" t="str">
            <v>31</v>
          </cell>
          <cell r="H8" t="str">
            <v>Spesialutvalg</v>
          </cell>
          <cell r="I8">
            <v>45250</v>
          </cell>
          <cell r="J8">
            <v>2958465</v>
          </cell>
          <cell r="K8"/>
          <cell r="L8" t="str">
            <v/>
          </cell>
          <cell r="M8" t="str">
            <v/>
          </cell>
          <cell r="N8" t="str">
            <v/>
          </cell>
          <cell r="O8"/>
          <cell r="P8" t="str">
            <v>Øl</v>
          </cell>
          <cell r="Q8" t="str">
            <v>Øl</v>
          </cell>
          <cell r="R8" t="str">
            <v>Saison farmhouse ale</v>
          </cell>
          <cell r="S8" t="str">
            <v>50116</v>
          </cell>
          <cell r="T8" t="str">
            <v>85</v>
          </cell>
          <cell r="U8" t="str">
            <v>Øl, overgjæret</v>
          </cell>
          <cell r="V8" t="str">
            <v>X</v>
          </cell>
          <cell r="W8" t="str">
            <v>0</v>
          </cell>
          <cell r="X8" t="str">
            <v/>
          </cell>
          <cell r="Y8" t="str">
            <v>Tyskland</v>
          </cell>
          <cell r="Z8" t="str">
            <v>Øvrige</v>
          </cell>
          <cell r="AA8" t="str">
            <v/>
          </cell>
          <cell r="AB8" t="str">
            <v/>
          </cell>
          <cell r="AC8" t="str">
            <v/>
          </cell>
          <cell r="AD8" t="str">
            <v>604878</v>
          </cell>
          <cell r="AE8" t="str">
            <v>Frau Gruber</v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>Gluten</v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>0</v>
          </cell>
          <cell r="AS8" t="str">
            <v/>
          </cell>
          <cell r="AT8" t="str">
            <v>0</v>
          </cell>
          <cell r="AU8" t="str">
            <v/>
          </cell>
          <cell r="AV8" t="str">
            <v>0</v>
          </cell>
          <cell r="AW8" t="str">
            <v/>
          </cell>
          <cell r="AX8" t="str">
            <v>0</v>
          </cell>
          <cell r="AY8" t="str">
            <v/>
          </cell>
          <cell r="AZ8" t="str">
            <v>0</v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>Y</v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>03</v>
          </cell>
          <cell r="BY8" t="str">
            <v>Glass</v>
          </cell>
          <cell r="BZ8" t="str">
            <v/>
          </cell>
          <cell r="CA8">
            <v>0</v>
          </cell>
          <cell r="CB8" t="str">
            <v>1</v>
          </cell>
          <cell r="CC8" t="str">
            <v/>
          </cell>
          <cell r="CD8">
            <v>6.2</v>
          </cell>
        </row>
        <row r="9">
          <cell r="A9">
            <v>16730302</v>
          </cell>
          <cell r="B9" t="str">
            <v/>
          </cell>
          <cell r="C9" t="str">
            <v>Firestone Walker Paraboloid</v>
          </cell>
          <cell r="D9" t="str">
            <v>Firestone Walker Paraboloid</v>
          </cell>
          <cell r="E9" t="str">
            <v>Firestone Walker Paraboloid</v>
          </cell>
          <cell r="F9">
            <v>45316</v>
          </cell>
          <cell r="G9" t="str">
            <v>31</v>
          </cell>
          <cell r="H9" t="str">
            <v>Spesialutvalg</v>
          </cell>
          <cell r="I9">
            <v>45250</v>
          </cell>
          <cell r="J9">
            <v>2958465</v>
          </cell>
          <cell r="K9"/>
          <cell r="L9" t="str">
            <v/>
          </cell>
          <cell r="M9" t="str">
            <v/>
          </cell>
          <cell r="N9" t="str">
            <v/>
          </cell>
          <cell r="O9"/>
          <cell r="P9" t="str">
            <v>Øl</v>
          </cell>
          <cell r="Q9" t="str">
            <v>Øl</v>
          </cell>
          <cell r="R9" t="str">
            <v>Porter &amp; stout</v>
          </cell>
          <cell r="S9" t="str">
            <v>50134</v>
          </cell>
          <cell r="T9" t="str">
            <v>85</v>
          </cell>
          <cell r="U9" t="str">
            <v>Øl, overgjæret</v>
          </cell>
          <cell r="V9" t="str">
            <v>X</v>
          </cell>
          <cell r="W9" t="str">
            <v>2023</v>
          </cell>
          <cell r="X9" t="str">
            <v>X</v>
          </cell>
          <cell r="Y9" t="str">
            <v>USA</v>
          </cell>
          <cell r="Z9" t="str">
            <v>California</v>
          </cell>
          <cell r="AA9" t="str">
            <v>Paso Robles</v>
          </cell>
          <cell r="AB9" t="str">
            <v>AVA</v>
          </cell>
          <cell r="AC9" t="str">
            <v/>
          </cell>
          <cell r="AD9" t="str">
            <v>604060</v>
          </cell>
          <cell r="AE9" t="str">
            <v>Firestone Walker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>Gluten</v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>0</v>
          </cell>
          <cell r="AS9" t="str">
            <v/>
          </cell>
          <cell r="AT9" t="str">
            <v>0</v>
          </cell>
          <cell r="AU9" t="str">
            <v/>
          </cell>
          <cell r="AV9" t="str">
            <v>0</v>
          </cell>
          <cell r="AW9" t="str">
            <v/>
          </cell>
          <cell r="AX9" t="str">
            <v>0</v>
          </cell>
          <cell r="AY9" t="str">
            <v/>
          </cell>
          <cell r="AZ9" t="str">
            <v>0</v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>Y</v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>03</v>
          </cell>
          <cell r="BY9" t="str">
            <v>Glass</v>
          </cell>
          <cell r="BZ9" t="str">
            <v/>
          </cell>
          <cell r="CA9">
            <v>0</v>
          </cell>
          <cell r="CB9" t="str">
            <v>1</v>
          </cell>
          <cell r="CC9" t="str">
            <v/>
          </cell>
          <cell r="CD9">
            <v>13</v>
          </cell>
        </row>
        <row r="10">
          <cell r="A10">
            <v>16730402</v>
          </cell>
          <cell r="B10" t="str">
            <v/>
          </cell>
          <cell r="C10" t="str">
            <v>FrauGruber Peach Pilot</v>
          </cell>
          <cell r="D10" t="str">
            <v>FrauGruber Peach Pilot</v>
          </cell>
          <cell r="E10" t="str">
            <v>FrauGruber Peach Pilot</v>
          </cell>
          <cell r="F10">
            <v>45316</v>
          </cell>
          <cell r="G10" t="str">
            <v>31</v>
          </cell>
          <cell r="H10" t="str">
            <v>Spesialutvalg</v>
          </cell>
          <cell r="I10">
            <v>45250</v>
          </cell>
          <cell r="J10">
            <v>2958465</v>
          </cell>
          <cell r="K10"/>
          <cell r="L10" t="str">
            <v/>
          </cell>
          <cell r="M10" t="str">
            <v/>
          </cell>
          <cell r="N10" t="str">
            <v/>
          </cell>
          <cell r="O10"/>
          <cell r="P10" t="str">
            <v>Øl</v>
          </cell>
          <cell r="Q10" t="str">
            <v>Øl</v>
          </cell>
          <cell r="R10" t="str">
            <v>Saison farmhouse ale</v>
          </cell>
          <cell r="S10" t="str">
            <v>50116</v>
          </cell>
          <cell r="T10" t="str">
            <v>85</v>
          </cell>
          <cell r="U10" t="str">
            <v>Øl, overgjæret</v>
          </cell>
          <cell r="V10" t="str">
            <v>X</v>
          </cell>
          <cell r="W10" t="str">
            <v>0</v>
          </cell>
          <cell r="X10" t="str">
            <v/>
          </cell>
          <cell r="Y10" t="str">
            <v>Tyskland</v>
          </cell>
          <cell r="Z10" t="str">
            <v>Øvrige</v>
          </cell>
          <cell r="AA10" t="str">
            <v/>
          </cell>
          <cell r="AB10" t="str">
            <v/>
          </cell>
          <cell r="AC10" t="str">
            <v/>
          </cell>
          <cell r="AD10" t="str">
            <v>604878</v>
          </cell>
          <cell r="AE10" t="str">
            <v>Frau Gruber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>Gluten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>0</v>
          </cell>
          <cell r="AS10" t="str">
            <v/>
          </cell>
          <cell r="AT10" t="str">
            <v>0</v>
          </cell>
          <cell r="AU10" t="str">
            <v/>
          </cell>
          <cell r="AV10" t="str">
            <v>0</v>
          </cell>
          <cell r="AW10" t="str">
            <v/>
          </cell>
          <cell r="AX10" t="str">
            <v>0</v>
          </cell>
          <cell r="AY10" t="str">
            <v/>
          </cell>
          <cell r="AZ10" t="str">
            <v>0</v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>Y</v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>03</v>
          </cell>
          <cell r="BY10" t="str">
            <v>Glass</v>
          </cell>
          <cell r="BZ10" t="str">
            <v/>
          </cell>
          <cell r="CA10">
            <v>0</v>
          </cell>
          <cell r="CB10" t="str">
            <v>1</v>
          </cell>
          <cell r="CC10" t="str">
            <v/>
          </cell>
          <cell r="CD10">
            <v>6.2</v>
          </cell>
        </row>
        <row r="11">
          <cell r="A11">
            <v>16730501</v>
          </cell>
          <cell r="B11" t="str">
            <v/>
          </cell>
          <cell r="C11" t="str">
            <v>Duvel Magritte</v>
          </cell>
          <cell r="D11" t="str">
            <v>Duvel Magritte</v>
          </cell>
          <cell r="E11" t="str">
            <v>Duvel Magritte</v>
          </cell>
          <cell r="F11">
            <v>45316</v>
          </cell>
          <cell r="G11" t="str">
            <v>31</v>
          </cell>
          <cell r="H11" t="str">
            <v>Spesialutvalg</v>
          </cell>
          <cell r="I11">
            <v>45250</v>
          </cell>
          <cell r="J11">
            <v>2958465</v>
          </cell>
          <cell r="K11"/>
          <cell r="L11" t="str">
            <v/>
          </cell>
          <cell r="M11" t="str">
            <v/>
          </cell>
          <cell r="N11" t="str">
            <v/>
          </cell>
          <cell r="O11"/>
          <cell r="P11" t="str">
            <v>Øl</v>
          </cell>
          <cell r="Q11" t="str">
            <v>Øl</v>
          </cell>
          <cell r="R11" t="str">
            <v>Lys ale</v>
          </cell>
          <cell r="S11" t="str">
            <v>50113</v>
          </cell>
          <cell r="T11" t="str">
            <v>85</v>
          </cell>
          <cell r="U11" t="str">
            <v>Øl, overgjæret</v>
          </cell>
          <cell r="V11" t="str">
            <v>X</v>
          </cell>
          <cell r="W11" t="str">
            <v>0</v>
          </cell>
          <cell r="X11" t="str">
            <v/>
          </cell>
          <cell r="Y11" t="str">
            <v>Belgia</v>
          </cell>
          <cell r="Z11" t="str">
            <v>Øvrige</v>
          </cell>
          <cell r="AA11" t="str">
            <v/>
          </cell>
          <cell r="AB11" t="str">
            <v/>
          </cell>
          <cell r="AC11" t="str">
            <v/>
          </cell>
          <cell r="AD11" t="str">
            <v>61309</v>
          </cell>
          <cell r="AE11" t="str">
            <v>Duvel Moortgat</v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>Gluten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>0</v>
          </cell>
          <cell r="AS11" t="str">
            <v/>
          </cell>
          <cell r="AT11" t="str">
            <v>0</v>
          </cell>
          <cell r="AU11" t="str">
            <v/>
          </cell>
          <cell r="AV11" t="str">
            <v>0</v>
          </cell>
          <cell r="AW11" t="str">
            <v/>
          </cell>
          <cell r="AX11" t="str">
            <v>0</v>
          </cell>
          <cell r="AY11" t="str">
            <v/>
          </cell>
          <cell r="AZ11" t="str">
            <v>0</v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>Y</v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>03</v>
          </cell>
          <cell r="BY11" t="str">
            <v>Glass</v>
          </cell>
          <cell r="BZ11" t="str">
            <v/>
          </cell>
          <cell r="CA11">
            <v>0</v>
          </cell>
          <cell r="CB11" t="str">
            <v>1</v>
          </cell>
          <cell r="CC11" t="str">
            <v/>
          </cell>
          <cell r="CD11">
            <v>8.5</v>
          </cell>
        </row>
        <row r="12">
          <cell r="A12">
            <v>16730702</v>
          </cell>
          <cell r="B12" t="str">
            <v/>
          </cell>
          <cell r="C12" t="str">
            <v>Marlobobo I Asked For Barley Wine And All I Got Was Hockeypulver</v>
          </cell>
          <cell r="D12" t="str">
            <v>Marlobobo I Asked For Barley Wine And..</v>
          </cell>
          <cell r="E12" t="str">
            <v>Marlobobo I Asked For Barley Wine And..</v>
          </cell>
          <cell r="F12">
            <v>45316</v>
          </cell>
          <cell r="G12" t="str">
            <v>31</v>
          </cell>
          <cell r="H12" t="str">
            <v>Spesialutvalg</v>
          </cell>
          <cell r="I12">
            <v>45250</v>
          </cell>
          <cell r="J12">
            <v>2958465</v>
          </cell>
          <cell r="K12"/>
          <cell r="L12" t="str">
            <v/>
          </cell>
          <cell r="M12" t="str">
            <v/>
          </cell>
          <cell r="N12" t="str">
            <v/>
          </cell>
          <cell r="O12"/>
          <cell r="P12" t="str">
            <v>Øl</v>
          </cell>
          <cell r="Q12" t="str">
            <v>Mjød</v>
          </cell>
          <cell r="R12" t="str">
            <v>Mjød</v>
          </cell>
          <cell r="S12" t="str">
            <v>50201</v>
          </cell>
          <cell r="T12" t="str">
            <v>139</v>
          </cell>
          <cell r="U12" t="str">
            <v>Mjød</v>
          </cell>
          <cell r="V12" t="str">
            <v>X</v>
          </cell>
          <cell r="W12" t="str">
            <v>2022</v>
          </cell>
          <cell r="X12" t="str">
            <v>X</v>
          </cell>
          <cell r="Y12" t="str">
            <v>Norge</v>
          </cell>
          <cell r="Z12" t="str">
            <v>Vestfold og Telemark</v>
          </cell>
          <cell r="AA12" t="str">
            <v>Holmestrand</v>
          </cell>
          <cell r="AB12" t="str">
            <v/>
          </cell>
          <cell r="AC12" t="str">
            <v>X</v>
          </cell>
          <cell r="AD12" t="str">
            <v>2056588</v>
          </cell>
          <cell r="AE12" t="str">
            <v>Marlobobo</v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>Sulfitt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>0</v>
          </cell>
          <cell r="AS12" t="str">
            <v/>
          </cell>
          <cell r="AT12" t="str">
            <v>0</v>
          </cell>
          <cell r="AU12" t="str">
            <v/>
          </cell>
          <cell r="AV12" t="str">
            <v>0</v>
          </cell>
          <cell r="AW12" t="str">
            <v/>
          </cell>
          <cell r="AX12" t="str">
            <v>0</v>
          </cell>
          <cell r="AY12" t="str">
            <v/>
          </cell>
          <cell r="AZ12" t="str">
            <v>0</v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>Y</v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>03</v>
          </cell>
          <cell r="BY12" t="str">
            <v>Glass</v>
          </cell>
          <cell r="BZ12" t="str">
            <v/>
          </cell>
          <cell r="CA12">
            <v>0</v>
          </cell>
          <cell r="CB12" t="str">
            <v>1</v>
          </cell>
          <cell r="CC12" t="str">
            <v/>
          </cell>
          <cell r="CD12">
            <v>14</v>
          </cell>
        </row>
        <row r="13">
          <cell r="A13">
            <v>16730802</v>
          </cell>
          <cell r="B13" t="str">
            <v/>
          </cell>
          <cell r="C13" t="str">
            <v>Marlobobo Very Disco</v>
          </cell>
          <cell r="D13" t="str">
            <v>Marlobobo Very Disco</v>
          </cell>
          <cell r="E13" t="str">
            <v>Marlobobo Very Disco</v>
          </cell>
          <cell r="F13">
            <v>45316</v>
          </cell>
          <cell r="G13" t="str">
            <v>31</v>
          </cell>
          <cell r="H13" t="str">
            <v>Spesialutvalg</v>
          </cell>
          <cell r="I13">
            <v>45250</v>
          </cell>
          <cell r="J13">
            <v>2958465</v>
          </cell>
          <cell r="K13"/>
          <cell r="L13" t="str">
            <v/>
          </cell>
          <cell r="M13" t="str">
            <v/>
          </cell>
          <cell r="N13" t="str">
            <v/>
          </cell>
          <cell r="O13"/>
          <cell r="P13" t="str">
            <v>Øl</v>
          </cell>
          <cell r="Q13" t="str">
            <v>Mjød</v>
          </cell>
          <cell r="R13" t="str">
            <v>Mjød</v>
          </cell>
          <cell r="S13" t="str">
            <v>50201</v>
          </cell>
          <cell r="T13" t="str">
            <v>139</v>
          </cell>
          <cell r="U13" t="str">
            <v>Mjød</v>
          </cell>
          <cell r="V13" t="str">
            <v>X</v>
          </cell>
          <cell r="W13" t="str">
            <v>2022</v>
          </cell>
          <cell r="X13" t="str">
            <v>X</v>
          </cell>
          <cell r="Y13" t="str">
            <v>Norge</v>
          </cell>
          <cell r="Z13" t="str">
            <v>Vestfold og Telemark</v>
          </cell>
          <cell r="AA13" t="str">
            <v>Holmestrand</v>
          </cell>
          <cell r="AB13" t="str">
            <v/>
          </cell>
          <cell r="AC13" t="str">
            <v>X</v>
          </cell>
          <cell r="AD13" t="str">
            <v>2056588</v>
          </cell>
          <cell r="AE13" t="str">
            <v>Marlobobo</v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>Sulfitt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>0</v>
          </cell>
          <cell r="AS13" t="str">
            <v/>
          </cell>
          <cell r="AT13" t="str">
            <v>0</v>
          </cell>
          <cell r="AU13" t="str">
            <v/>
          </cell>
          <cell r="AV13" t="str">
            <v>0</v>
          </cell>
          <cell r="AW13" t="str">
            <v/>
          </cell>
          <cell r="AX13" t="str">
            <v>0</v>
          </cell>
          <cell r="AY13" t="str">
            <v/>
          </cell>
          <cell r="AZ13" t="str">
            <v>0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>Y</v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>03</v>
          </cell>
          <cell r="BY13" t="str">
            <v>Glass</v>
          </cell>
          <cell r="BZ13" t="str">
            <v/>
          </cell>
          <cell r="CA13">
            <v>0</v>
          </cell>
          <cell r="CB13" t="str">
            <v>1</v>
          </cell>
          <cell r="CC13" t="str">
            <v/>
          </cell>
          <cell r="CD13">
            <v>13</v>
          </cell>
        </row>
        <row r="14">
          <cell r="A14">
            <v>16730902</v>
          </cell>
          <cell r="B14" t="str">
            <v/>
          </cell>
          <cell r="C14" t="str">
            <v>Marlobobo Norwalien Happiness</v>
          </cell>
          <cell r="D14" t="str">
            <v>Marlobobo Norwalien Happiness</v>
          </cell>
          <cell r="E14" t="str">
            <v>Marlobobo Norwalien Happiness</v>
          </cell>
          <cell r="F14">
            <v>45316</v>
          </cell>
          <cell r="G14" t="str">
            <v>31</v>
          </cell>
          <cell r="H14" t="str">
            <v>Spesialutvalg</v>
          </cell>
          <cell r="I14">
            <v>45250</v>
          </cell>
          <cell r="J14">
            <v>2958465</v>
          </cell>
          <cell r="K14"/>
          <cell r="L14" t="str">
            <v/>
          </cell>
          <cell r="M14" t="str">
            <v/>
          </cell>
          <cell r="N14" t="str">
            <v/>
          </cell>
          <cell r="O14"/>
          <cell r="P14" t="str">
            <v>Øl</v>
          </cell>
          <cell r="Q14" t="str">
            <v>Mjød</v>
          </cell>
          <cell r="R14" t="str">
            <v>Mjød</v>
          </cell>
          <cell r="S14" t="str">
            <v>50201</v>
          </cell>
          <cell r="T14" t="str">
            <v>139</v>
          </cell>
          <cell r="U14" t="str">
            <v>Mjød</v>
          </cell>
          <cell r="V14" t="str">
            <v>X</v>
          </cell>
          <cell r="W14" t="str">
            <v>2022</v>
          </cell>
          <cell r="X14" t="str">
            <v>X</v>
          </cell>
          <cell r="Y14" t="str">
            <v>Norge</v>
          </cell>
          <cell r="Z14" t="str">
            <v>Vestfold og Telemark</v>
          </cell>
          <cell r="AA14" t="str">
            <v>Holmestrand</v>
          </cell>
          <cell r="AB14" t="str">
            <v/>
          </cell>
          <cell r="AC14" t="str">
            <v>X</v>
          </cell>
          <cell r="AD14" t="str">
            <v>2056588</v>
          </cell>
          <cell r="AE14" t="str">
            <v>Marlobobo</v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>Sulfitt</v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>0</v>
          </cell>
          <cell r="AS14" t="str">
            <v/>
          </cell>
          <cell r="AT14" t="str">
            <v>0</v>
          </cell>
          <cell r="AU14" t="str">
            <v/>
          </cell>
          <cell r="AV14" t="str">
            <v>0</v>
          </cell>
          <cell r="AW14" t="str">
            <v/>
          </cell>
          <cell r="AX14" t="str">
            <v>0</v>
          </cell>
          <cell r="AY14" t="str">
            <v/>
          </cell>
          <cell r="AZ14" t="str">
            <v>0</v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>Y</v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>03</v>
          </cell>
          <cell r="BY14" t="str">
            <v>Glass</v>
          </cell>
          <cell r="BZ14" t="str">
            <v/>
          </cell>
          <cell r="CA14">
            <v>0</v>
          </cell>
          <cell r="CB14" t="str">
            <v>1</v>
          </cell>
          <cell r="CC14" t="str">
            <v/>
          </cell>
          <cell r="CD14">
            <v>10</v>
          </cell>
        </row>
        <row r="15">
          <cell r="A15">
            <v>16731002</v>
          </cell>
          <cell r="B15" t="str">
            <v/>
          </cell>
          <cell r="C15" t="str">
            <v>Marlobobo Lil Plum P</v>
          </cell>
          <cell r="D15" t="str">
            <v>Marlobobo Lil Plum P</v>
          </cell>
          <cell r="E15" t="str">
            <v>Marlobobo Lil Plum P</v>
          </cell>
          <cell r="F15">
            <v>45316</v>
          </cell>
          <cell r="G15" t="str">
            <v>31</v>
          </cell>
          <cell r="H15" t="str">
            <v>Spesialutvalg</v>
          </cell>
          <cell r="I15">
            <v>45250</v>
          </cell>
          <cell r="J15">
            <v>2958465</v>
          </cell>
          <cell r="K15"/>
          <cell r="L15" t="str">
            <v/>
          </cell>
          <cell r="M15" t="str">
            <v/>
          </cell>
          <cell r="N15" t="str">
            <v/>
          </cell>
          <cell r="O15"/>
          <cell r="P15" t="str">
            <v>Øl</v>
          </cell>
          <cell r="Q15" t="str">
            <v>Mjød</v>
          </cell>
          <cell r="R15" t="str">
            <v>Mjød</v>
          </cell>
          <cell r="S15" t="str">
            <v>50201</v>
          </cell>
          <cell r="T15" t="str">
            <v>139</v>
          </cell>
          <cell r="U15" t="str">
            <v>Mjød</v>
          </cell>
          <cell r="V15" t="str">
            <v>X</v>
          </cell>
          <cell r="W15" t="str">
            <v>2022</v>
          </cell>
          <cell r="X15" t="str">
            <v>X</v>
          </cell>
          <cell r="Y15" t="str">
            <v>Norge</v>
          </cell>
          <cell r="Z15" t="str">
            <v>Vestfold og Telemark</v>
          </cell>
          <cell r="AA15" t="str">
            <v>Holmestrand</v>
          </cell>
          <cell r="AB15" t="str">
            <v/>
          </cell>
          <cell r="AC15" t="str">
            <v/>
          </cell>
          <cell r="AD15" t="str">
            <v>2056588</v>
          </cell>
          <cell r="AE15" t="str">
            <v>Marlobobo</v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>Sulfitt</v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>0</v>
          </cell>
          <cell r="AS15" t="str">
            <v/>
          </cell>
          <cell r="AT15" t="str">
            <v>0</v>
          </cell>
          <cell r="AU15" t="str">
            <v/>
          </cell>
          <cell r="AV15" t="str">
            <v>0</v>
          </cell>
          <cell r="AW15" t="str">
            <v/>
          </cell>
          <cell r="AX15" t="str">
            <v>0</v>
          </cell>
          <cell r="AY15" t="str">
            <v/>
          </cell>
          <cell r="AZ15" t="str">
            <v>0</v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>Y</v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>03</v>
          </cell>
          <cell r="BY15" t="str">
            <v>Glass</v>
          </cell>
          <cell r="BZ15" t="str">
            <v/>
          </cell>
          <cell r="CA15">
            <v>0</v>
          </cell>
          <cell r="CB15" t="str">
            <v>1</v>
          </cell>
          <cell r="CC15" t="str">
            <v/>
          </cell>
          <cell r="CD15">
            <v>12.5</v>
          </cell>
        </row>
        <row r="16">
          <cell r="A16">
            <v>16731701</v>
          </cell>
          <cell r="B16" t="str">
            <v/>
          </cell>
          <cell r="C16" t="str">
            <v>7 Fjell Echos Barrel Aged Quad</v>
          </cell>
          <cell r="D16" t="str">
            <v>7 Fjell Echos Barrel Aged Quad</v>
          </cell>
          <cell r="E16" t="str">
            <v>7 Fjell Echos Barrel Aged Quad</v>
          </cell>
          <cell r="F16">
            <v>45316</v>
          </cell>
          <cell r="G16" t="str">
            <v>31</v>
          </cell>
          <cell r="H16" t="str">
            <v>Spesialutvalg</v>
          </cell>
          <cell r="I16">
            <v>45250</v>
          </cell>
          <cell r="J16">
            <v>2958465</v>
          </cell>
          <cell r="K16"/>
          <cell r="L16" t="str">
            <v/>
          </cell>
          <cell r="M16" t="str">
            <v/>
          </cell>
          <cell r="N16" t="str">
            <v/>
          </cell>
          <cell r="O16"/>
          <cell r="P16" t="str">
            <v>Øl</v>
          </cell>
          <cell r="Q16" t="str">
            <v>Øl</v>
          </cell>
          <cell r="R16" t="str">
            <v>Spesial</v>
          </cell>
          <cell r="S16" t="str">
            <v>50146</v>
          </cell>
          <cell r="T16" t="str">
            <v>85</v>
          </cell>
          <cell r="U16" t="str">
            <v>Øl, overgjæret</v>
          </cell>
          <cell r="V16" t="str">
            <v>X</v>
          </cell>
          <cell r="W16" t="str">
            <v>0</v>
          </cell>
          <cell r="X16" t="str">
            <v/>
          </cell>
          <cell r="Y16" t="str">
            <v>Norge</v>
          </cell>
          <cell r="Z16" t="str">
            <v>Vestland</v>
          </cell>
          <cell r="AA16" t="str">
            <v>Bergen</v>
          </cell>
          <cell r="AB16" t="str">
            <v/>
          </cell>
          <cell r="AC16" t="str">
            <v>X</v>
          </cell>
          <cell r="AD16" t="str">
            <v>601389</v>
          </cell>
          <cell r="AE16" t="str">
            <v>7 Fjell Bryggeri</v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>Gluten</v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>0</v>
          </cell>
          <cell r="AS16" t="str">
            <v/>
          </cell>
          <cell r="AT16" t="str">
            <v>0</v>
          </cell>
          <cell r="AU16" t="str">
            <v/>
          </cell>
          <cell r="AV16" t="str">
            <v>0</v>
          </cell>
          <cell r="AW16" t="str">
            <v/>
          </cell>
          <cell r="AX16" t="str">
            <v>0</v>
          </cell>
          <cell r="AY16" t="str">
            <v/>
          </cell>
          <cell r="AZ16" t="str">
            <v>0</v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>Y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>03</v>
          </cell>
          <cell r="BY16" t="str">
            <v>Glass</v>
          </cell>
          <cell r="BZ16" t="str">
            <v/>
          </cell>
          <cell r="CA16">
            <v>0</v>
          </cell>
          <cell r="CB16" t="str">
            <v>1</v>
          </cell>
          <cell r="CC16" t="str">
            <v/>
          </cell>
          <cell r="CD16">
            <v>10</v>
          </cell>
        </row>
        <row r="17">
          <cell r="A17">
            <v>16737702</v>
          </cell>
          <cell r="B17" t="str">
            <v/>
          </cell>
          <cell r="C17" t="str">
            <v>Nøisom Corvus 3.0</v>
          </cell>
          <cell r="D17" t="str">
            <v>Nøisom Corvus 3.0</v>
          </cell>
          <cell r="E17" t="str">
            <v>Nøisom Corvus 3.0</v>
          </cell>
          <cell r="F17">
            <v>45316</v>
          </cell>
          <cell r="G17" t="str">
            <v>31</v>
          </cell>
          <cell r="H17" t="str">
            <v>Spesialutvalg</v>
          </cell>
          <cell r="I17">
            <v>45251</v>
          </cell>
          <cell r="J17">
            <v>2958465</v>
          </cell>
          <cell r="K17"/>
          <cell r="L17" t="str">
            <v/>
          </cell>
          <cell r="M17" t="str">
            <v/>
          </cell>
          <cell r="N17" t="str">
            <v/>
          </cell>
          <cell r="O17"/>
          <cell r="P17" t="str">
            <v>Øl</v>
          </cell>
          <cell r="Q17" t="str">
            <v>Øl</v>
          </cell>
          <cell r="R17" t="str">
            <v>Porter &amp; stout</v>
          </cell>
          <cell r="S17" t="str">
            <v>50134</v>
          </cell>
          <cell r="T17" t="str">
            <v>85</v>
          </cell>
          <cell r="U17" t="str">
            <v>Øl, overgjæret</v>
          </cell>
          <cell r="V17" t="str">
            <v>X</v>
          </cell>
          <cell r="W17" t="str">
            <v>2023</v>
          </cell>
          <cell r="X17" t="str">
            <v/>
          </cell>
          <cell r="Y17" t="str">
            <v>Norge</v>
          </cell>
          <cell r="Z17" t="str">
            <v>Viken</v>
          </cell>
          <cell r="AA17" t="str">
            <v>Fredrikstad</v>
          </cell>
          <cell r="AB17" t="str">
            <v/>
          </cell>
          <cell r="AC17" t="str">
            <v>X</v>
          </cell>
          <cell r="AD17" t="str">
            <v>601842</v>
          </cell>
          <cell r="AE17" t="str">
            <v>Nøisom</v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>Gluten</v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>0</v>
          </cell>
          <cell r="AS17" t="str">
            <v/>
          </cell>
          <cell r="AT17" t="str">
            <v>0</v>
          </cell>
          <cell r="AU17" t="str">
            <v/>
          </cell>
          <cell r="AV17" t="str">
            <v>0</v>
          </cell>
          <cell r="AW17" t="str">
            <v/>
          </cell>
          <cell r="AX17" t="str">
            <v>0</v>
          </cell>
          <cell r="AY17" t="str">
            <v/>
          </cell>
          <cell r="AZ17" t="str">
            <v>0</v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>Z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>03</v>
          </cell>
          <cell r="BY17" t="str">
            <v>Glass</v>
          </cell>
          <cell r="BZ17" t="str">
            <v/>
          </cell>
          <cell r="CA17">
            <v>0</v>
          </cell>
          <cell r="CB17" t="str">
            <v>1</v>
          </cell>
          <cell r="CC17" t="str">
            <v/>
          </cell>
          <cell r="CD17">
            <v>14</v>
          </cell>
        </row>
        <row r="18">
          <cell r="A18">
            <v>16747702</v>
          </cell>
          <cell r="B18" t="str">
            <v/>
          </cell>
          <cell r="C18" t="str">
            <v>Jopen Zwarte Zeil BA Bourbon</v>
          </cell>
          <cell r="D18" t="str">
            <v>Jopen Zwarte Zeil BA Bourbon</v>
          </cell>
          <cell r="E18" t="str">
            <v>Jopen Zwarte Zeil BA Bourbon</v>
          </cell>
          <cell r="F18">
            <v>45316</v>
          </cell>
          <cell r="G18" t="str">
            <v>31</v>
          </cell>
          <cell r="H18" t="str">
            <v>Spesialutvalg</v>
          </cell>
          <cell r="I18">
            <v>45253</v>
          </cell>
          <cell r="J18">
            <v>45315</v>
          </cell>
          <cell r="K18"/>
          <cell r="L18" t="str">
            <v/>
          </cell>
          <cell r="M18" t="str">
            <v/>
          </cell>
          <cell r="N18" t="str">
            <v/>
          </cell>
          <cell r="O18"/>
          <cell r="P18" t="str">
            <v>Øl</v>
          </cell>
          <cell r="Q18" t="str">
            <v>Øl</v>
          </cell>
          <cell r="R18" t="str">
            <v>Porter &amp; stout</v>
          </cell>
          <cell r="S18" t="str">
            <v>50134</v>
          </cell>
          <cell r="T18" t="str">
            <v>85</v>
          </cell>
          <cell r="U18" t="str">
            <v>Øl, overgjæret</v>
          </cell>
          <cell r="V18" t="str">
            <v>X</v>
          </cell>
          <cell r="W18" t="str">
            <v>0</v>
          </cell>
          <cell r="X18" t="str">
            <v/>
          </cell>
          <cell r="Y18" t="str">
            <v>Nederland</v>
          </cell>
          <cell r="Z18" t="str">
            <v>Øvrige</v>
          </cell>
          <cell r="AA18" t="str">
            <v/>
          </cell>
          <cell r="AB18" t="str">
            <v/>
          </cell>
          <cell r="AC18" t="str">
            <v/>
          </cell>
          <cell r="AD18" t="str">
            <v>2566521</v>
          </cell>
          <cell r="AE18" t="str">
            <v>Jopen B.V.</v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>Gluten</v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>0</v>
          </cell>
          <cell r="AS18" t="str">
            <v/>
          </cell>
          <cell r="AT18" t="str">
            <v>0</v>
          </cell>
          <cell r="AU18" t="str">
            <v/>
          </cell>
          <cell r="AV18" t="str">
            <v>0</v>
          </cell>
          <cell r="AW18" t="str">
            <v/>
          </cell>
          <cell r="AX18" t="str">
            <v>0</v>
          </cell>
          <cell r="AY18" t="str">
            <v/>
          </cell>
          <cell r="AZ18" t="str">
            <v>0</v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>Y</v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>03</v>
          </cell>
          <cell r="BY18" t="str">
            <v>Glass</v>
          </cell>
          <cell r="BZ18" t="str">
            <v/>
          </cell>
          <cell r="CA18">
            <v>0</v>
          </cell>
          <cell r="CB18" t="str">
            <v>1</v>
          </cell>
          <cell r="CC18" t="str">
            <v/>
          </cell>
          <cell r="CD18">
            <v>10.5</v>
          </cell>
        </row>
        <row r="19">
          <cell r="A19">
            <v>16747801</v>
          </cell>
          <cell r="B19" t="str">
            <v/>
          </cell>
          <cell r="C19" t="str">
            <v>Mjøderiet Freyja</v>
          </cell>
          <cell r="D19" t="str">
            <v>Mjøderiet Freyja</v>
          </cell>
          <cell r="E19" t="str">
            <v>Mjøderiet Freyja</v>
          </cell>
          <cell r="F19">
            <v>45316</v>
          </cell>
          <cell r="G19" t="str">
            <v>31</v>
          </cell>
          <cell r="H19" t="str">
            <v>Spesialutvalg</v>
          </cell>
          <cell r="I19">
            <v>45293</v>
          </cell>
          <cell r="J19">
            <v>2958465</v>
          </cell>
          <cell r="K19"/>
          <cell r="L19" t="str">
            <v/>
          </cell>
          <cell r="M19" t="str">
            <v/>
          </cell>
          <cell r="N19" t="str">
            <v/>
          </cell>
          <cell r="O19"/>
          <cell r="P19" t="str">
            <v>Øl</v>
          </cell>
          <cell r="Q19" t="str">
            <v>Mjød</v>
          </cell>
          <cell r="R19" t="str">
            <v>Mjød</v>
          </cell>
          <cell r="S19" t="str">
            <v>50201</v>
          </cell>
          <cell r="T19" t="str">
            <v>139</v>
          </cell>
          <cell r="U19" t="str">
            <v>Mjød</v>
          </cell>
          <cell r="V19" t="str">
            <v>X</v>
          </cell>
          <cell r="W19" t="str">
            <v>0</v>
          </cell>
          <cell r="X19" t="str">
            <v/>
          </cell>
          <cell r="Y19" t="str">
            <v>Norge</v>
          </cell>
          <cell r="Z19" t="str">
            <v>Vestland</v>
          </cell>
          <cell r="AA19" t="str">
            <v>Bergen</v>
          </cell>
          <cell r="AB19" t="str">
            <v/>
          </cell>
          <cell r="AC19" t="str">
            <v/>
          </cell>
          <cell r="AD19" t="str">
            <v>603504</v>
          </cell>
          <cell r="AE19" t="str">
            <v>Mjøderiet</v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>Sulfitt</v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>0</v>
          </cell>
          <cell r="AS19" t="str">
            <v/>
          </cell>
          <cell r="AT19" t="str">
            <v>0</v>
          </cell>
          <cell r="AU19" t="str">
            <v/>
          </cell>
          <cell r="AV19" t="str">
            <v>0</v>
          </cell>
          <cell r="AW19" t="str">
            <v/>
          </cell>
          <cell r="AX19" t="str">
            <v>0</v>
          </cell>
          <cell r="AY19" t="str">
            <v/>
          </cell>
          <cell r="AZ19" t="str">
            <v>0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>Y</v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>X</v>
          </cell>
          <cell r="BW19" t="str">
            <v/>
          </cell>
          <cell r="BX19" t="str">
            <v>03</v>
          </cell>
          <cell r="BY19" t="str">
            <v>Glass</v>
          </cell>
          <cell r="BZ19" t="str">
            <v/>
          </cell>
          <cell r="CA19">
            <v>0</v>
          </cell>
          <cell r="CB19" t="str">
            <v>1</v>
          </cell>
          <cell r="CC19" t="str">
            <v/>
          </cell>
          <cell r="CD19">
            <v>10.5</v>
          </cell>
        </row>
        <row r="20">
          <cell r="A20">
            <v>16757201</v>
          </cell>
          <cell r="B20" t="str">
            <v/>
          </cell>
          <cell r="C20" t="str">
            <v>Amager Bryghus Rose of Cimarron (American Outlaws)</v>
          </cell>
          <cell r="D20" t="str">
            <v>Amager Bryghus Rose of Cimarron</v>
          </cell>
          <cell r="E20" t="str">
            <v>Amager Bryghus Rose of Cimarron</v>
          </cell>
          <cell r="F20">
            <v>45316</v>
          </cell>
          <cell r="G20" t="str">
            <v>31</v>
          </cell>
          <cell r="H20" t="str">
            <v>Spesialutvalg</v>
          </cell>
          <cell r="I20">
            <v>45258</v>
          </cell>
          <cell r="J20">
            <v>2958465</v>
          </cell>
          <cell r="K20"/>
          <cell r="L20" t="str">
            <v/>
          </cell>
          <cell r="M20" t="str">
            <v/>
          </cell>
          <cell r="N20" t="str">
            <v/>
          </cell>
          <cell r="O20"/>
          <cell r="P20" t="str">
            <v>Øl</v>
          </cell>
          <cell r="Q20" t="str">
            <v>Øl</v>
          </cell>
          <cell r="R20" t="str">
            <v>Porter &amp; stout</v>
          </cell>
          <cell r="S20" t="str">
            <v>50134</v>
          </cell>
          <cell r="T20" t="str">
            <v>85</v>
          </cell>
          <cell r="U20" t="str">
            <v>Øl, overgjæret</v>
          </cell>
          <cell r="V20" t="str">
            <v>X</v>
          </cell>
          <cell r="W20" t="str">
            <v>0</v>
          </cell>
          <cell r="X20" t="str">
            <v/>
          </cell>
          <cell r="Y20" t="str">
            <v>Danmark</v>
          </cell>
          <cell r="Z20" t="str">
            <v>Øvrige</v>
          </cell>
          <cell r="AA20" t="str">
            <v/>
          </cell>
          <cell r="AB20" t="str">
            <v/>
          </cell>
          <cell r="AC20" t="str">
            <v/>
          </cell>
          <cell r="AD20" t="str">
            <v>600044</v>
          </cell>
          <cell r="AE20" t="str">
            <v>Amager Bryghus</v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>Gluten</v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>0</v>
          </cell>
          <cell r="AS20" t="str">
            <v/>
          </cell>
          <cell r="AT20" t="str">
            <v>0</v>
          </cell>
          <cell r="AU20" t="str">
            <v/>
          </cell>
          <cell r="AV20" t="str">
            <v>0</v>
          </cell>
          <cell r="AW20" t="str">
            <v/>
          </cell>
          <cell r="AX20" t="str">
            <v>0</v>
          </cell>
          <cell r="AY20" t="str">
            <v/>
          </cell>
          <cell r="AZ20" t="str">
            <v>0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>03</v>
          </cell>
          <cell r="BY20" t="str">
            <v>Glass</v>
          </cell>
          <cell r="BZ20" t="str">
            <v/>
          </cell>
          <cell r="CA20">
            <v>0</v>
          </cell>
          <cell r="CB20" t="str">
            <v>1</v>
          </cell>
          <cell r="CC20" t="str">
            <v/>
          </cell>
          <cell r="CD20">
            <v>15.6</v>
          </cell>
        </row>
        <row r="21">
          <cell r="A21">
            <v>16757301</v>
          </cell>
          <cell r="B21" t="str">
            <v/>
          </cell>
          <cell r="C21" t="str">
            <v>Amager Bryghus The Mormon Kid (American Outlaws)</v>
          </cell>
          <cell r="D21" t="str">
            <v>Amager Bryghus The Mormon Kid</v>
          </cell>
          <cell r="E21" t="str">
            <v>Amager Bryghus The Mormon Kid</v>
          </cell>
          <cell r="F21">
            <v>45316</v>
          </cell>
          <cell r="G21" t="str">
            <v>31</v>
          </cell>
          <cell r="H21" t="str">
            <v>Spesialutvalg</v>
          </cell>
          <cell r="I21">
            <v>45258</v>
          </cell>
          <cell r="J21">
            <v>2958465</v>
          </cell>
          <cell r="K21"/>
          <cell r="L21" t="str">
            <v/>
          </cell>
          <cell r="M21" t="str">
            <v/>
          </cell>
          <cell r="N21" t="str">
            <v/>
          </cell>
          <cell r="O21"/>
          <cell r="P21" t="str">
            <v>Øl</v>
          </cell>
          <cell r="Q21" t="str">
            <v>Øl</v>
          </cell>
          <cell r="R21" t="str">
            <v>Porter &amp; stout</v>
          </cell>
          <cell r="S21" t="str">
            <v>50134</v>
          </cell>
          <cell r="T21" t="str">
            <v>85</v>
          </cell>
          <cell r="U21" t="str">
            <v>Øl, overgjæret</v>
          </cell>
          <cell r="V21" t="str">
            <v>X</v>
          </cell>
          <cell r="W21" t="str">
            <v>0</v>
          </cell>
          <cell r="X21" t="str">
            <v/>
          </cell>
          <cell r="Y21" t="str">
            <v>Danmark</v>
          </cell>
          <cell r="Z21" t="str">
            <v>Øvrige</v>
          </cell>
          <cell r="AA21" t="str">
            <v/>
          </cell>
          <cell r="AB21" t="str">
            <v/>
          </cell>
          <cell r="AC21" t="str">
            <v/>
          </cell>
          <cell r="AD21" t="str">
            <v>600044</v>
          </cell>
          <cell r="AE21" t="str">
            <v>Amager Bryghus</v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>Gluten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>0</v>
          </cell>
          <cell r="AS21" t="str">
            <v/>
          </cell>
          <cell r="AT21" t="str">
            <v>0</v>
          </cell>
          <cell r="AU21" t="str">
            <v/>
          </cell>
          <cell r="AV21" t="str">
            <v>0</v>
          </cell>
          <cell r="AW21" t="str">
            <v/>
          </cell>
          <cell r="AX21" t="str">
            <v>0</v>
          </cell>
          <cell r="AY21" t="str">
            <v/>
          </cell>
          <cell r="AZ21" t="str">
            <v>0</v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>03</v>
          </cell>
          <cell r="BY21" t="str">
            <v>Glass</v>
          </cell>
          <cell r="BZ21" t="str">
            <v/>
          </cell>
          <cell r="CA21">
            <v>0</v>
          </cell>
          <cell r="CB21" t="str">
            <v>1</v>
          </cell>
          <cell r="CC21" t="str">
            <v/>
          </cell>
          <cell r="CD21">
            <v>15</v>
          </cell>
        </row>
        <row r="22">
          <cell r="A22">
            <v>16757401</v>
          </cell>
          <cell r="B22" t="str">
            <v/>
          </cell>
          <cell r="C22" t="str">
            <v>Amager Bryghus Double Black Mash</v>
          </cell>
          <cell r="D22" t="str">
            <v>Amager Bryghus Double Black Mash</v>
          </cell>
          <cell r="E22" t="str">
            <v>Amager Bryghus Double Black Mash</v>
          </cell>
          <cell r="F22">
            <v>45316</v>
          </cell>
          <cell r="G22" t="str">
            <v>31</v>
          </cell>
          <cell r="H22" t="str">
            <v>Spesialutvalg</v>
          </cell>
          <cell r="I22">
            <v>45258</v>
          </cell>
          <cell r="J22">
            <v>2958465</v>
          </cell>
          <cell r="K22"/>
          <cell r="L22" t="str">
            <v/>
          </cell>
          <cell r="M22" t="str">
            <v/>
          </cell>
          <cell r="N22" t="str">
            <v/>
          </cell>
          <cell r="O22"/>
          <cell r="P22" t="str">
            <v>Øl</v>
          </cell>
          <cell r="Q22" t="str">
            <v>Øl</v>
          </cell>
          <cell r="R22" t="str">
            <v>Porter &amp; stout</v>
          </cell>
          <cell r="S22" t="str">
            <v>50134</v>
          </cell>
          <cell r="T22" t="str">
            <v>85</v>
          </cell>
          <cell r="U22" t="str">
            <v>Øl, overgjæret</v>
          </cell>
          <cell r="V22" t="str">
            <v>X</v>
          </cell>
          <cell r="W22" t="str">
            <v>0</v>
          </cell>
          <cell r="X22" t="str">
            <v/>
          </cell>
          <cell r="Y22" t="str">
            <v>Danmark</v>
          </cell>
          <cell r="Z22" t="str">
            <v>Øvrige</v>
          </cell>
          <cell r="AA22" t="str">
            <v/>
          </cell>
          <cell r="AB22" t="str">
            <v/>
          </cell>
          <cell r="AC22" t="str">
            <v/>
          </cell>
          <cell r="AD22" t="str">
            <v>600044</v>
          </cell>
          <cell r="AE22" t="str">
            <v>Amager Bryghus</v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>Gluten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>0</v>
          </cell>
          <cell r="AS22" t="str">
            <v/>
          </cell>
          <cell r="AT22" t="str">
            <v>0</v>
          </cell>
          <cell r="AU22" t="str">
            <v/>
          </cell>
          <cell r="AV22" t="str">
            <v>0</v>
          </cell>
          <cell r="AW22" t="str">
            <v/>
          </cell>
          <cell r="AX22" t="str">
            <v>0</v>
          </cell>
          <cell r="AY22" t="str">
            <v/>
          </cell>
          <cell r="AZ22" t="str">
            <v>0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>03</v>
          </cell>
          <cell r="BY22" t="str">
            <v>Glass</v>
          </cell>
          <cell r="BZ22" t="str">
            <v/>
          </cell>
          <cell r="CA22">
            <v>0</v>
          </cell>
          <cell r="CB22" t="str">
            <v>1</v>
          </cell>
          <cell r="CC22" t="str">
            <v/>
          </cell>
          <cell r="CD22">
            <v>12</v>
          </cell>
        </row>
        <row r="23">
          <cell r="A23">
            <v>16757501</v>
          </cell>
          <cell r="B23" t="str">
            <v/>
          </cell>
          <cell r="C23" t="str">
            <v>Amager Bryghus Burt Alvord (American Outlaws)</v>
          </cell>
          <cell r="D23" t="str">
            <v>Amager Bryghus Burt Alvord</v>
          </cell>
          <cell r="E23" t="str">
            <v>Amager Bryghus Burt Alvord</v>
          </cell>
          <cell r="F23">
            <v>45316</v>
          </cell>
          <cell r="G23" t="str">
            <v>31</v>
          </cell>
          <cell r="H23" t="str">
            <v>Spesialutvalg</v>
          </cell>
          <cell r="I23">
            <v>45258</v>
          </cell>
          <cell r="J23">
            <v>2958465</v>
          </cell>
          <cell r="K23"/>
          <cell r="L23" t="str">
            <v/>
          </cell>
          <cell r="M23" t="str">
            <v/>
          </cell>
          <cell r="N23" t="str">
            <v/>
          </cell>
          <cell r="O23"/>
          <cell r="P23" t="str">
            <v>Øl</v>
          </cell>
          <cell r="Q23" t="str">
            <v>Øl</v>
          </cell>
          <cell r="R23" t="str">
            <v>Lys ale</v>
          </cell>
          <cell r="S23" t="str">
            <v>50113</v>
          </cell>
          <cell r="T23" t="str">
            <v>85</v>
          </cell>
          <cell r="U23" t="str">
            <v>Øl, overgjæret</v>
          </cell>
          <cell r="V23" t="str">
            <v>X</v>
          </cell>
          <cell r="W23" t="str">
            <v>0</v>
          </cell>
          <cell r="X23" t="str">
            <v/>
          </cell>
          <cell r="Y23" t="str">
            <v>Danmark</v>
          </cell>
          <cell r="Z23" t="str">
            <v>Øvrige</v>
          </cell>
          <cell r="AA23" t="str">
            <v/>
          </cell>
          <cell r="AB23" t="str">
            <v/>
          </cell>
          <cell r="AC23" t="str">
            <v/>
          </cell>
          <cell r="AD23" t="str">
            <v>600044</v>
          </cell>
          <cell r="AE23" t="str">
            <v>Amager Bryghus</v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>Gluten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>0</v>
          </cell>
          <cell r="AS23" t="str">
            <v/>
          </cell>
          <cell r="AT23" t="str">
            <v>0</v>
          </cell>
          <cell r="AU23" t="str">
            <v/>
          </cell>
          <cell r="AV23" t="str">
            <v>0</v>
          </cell>
          <cell r="AW23" t="str">
            <v/>
          </cell>
          <cell r="AX23" t="str">
            <v>0</v>
          </cell>
          <cell r="AY23" t="str">
            <v/>
          </cell>
          <cell r="AZ23" t="str">
            <v>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>03</v>
          </cell>
          <cell r="BY23" t="str">
            <v>Glass</v>
          </cell>
          <cell r="BZ23" t="str">
            <v/>
          </cell>
          <cell r="CA23">
            <v>0</v>
          </cell>
          <cell r="CB23" t="str">
            <v>1</v>
          </cell>
          <cell r="CC23" t="str">
            <v/>
          </cell>
          <cell r="CD23">
            <v>12</v>
          </cell>
        </row>
        <row r="24">
          <cell r="A24">
            <v>16757601</v>
          </cell>
          <cell r="B24" t="str">
            <v/>
          </cell>
          <cell r="C24" t="str">
            <v>Amager Bryghus Apache Kid (American Outlaws)</v>
          </cell>
          <cell r="D24" t="str">
            <v>Amager Bryghus Apache Kid</v>
          </cell>
          <cell r="E24" t="str">
            <v>Amager Bryghus Apache Kid</v>
          </cell>
          <cell r="F24">
            <v>45316</v>
          </cell>
          <cell r="G24" t="str">
            <v>31</v>
          </cell>
          <cell r="H24" t="str">
            <v>Spesialutvalg</v>
          </cell>
          <cell r="I24">
            <v>45258</v>
          </cell>
          <cell r="J24">
            <v>2958465</v>
          </cell>
          <cell r="K24"/>
          <cell r="L24" t="str">
            <v/>
          </cell>
          <cell r="M24" t="str">
            <v/>
          </cell>
          <cell r="N24" t="str">
            <v/>
          </cell>
          <cell r="O24"/>
          <cell r="P24" t="str">
            <v>Øl</v>
          </cell>
          <cell r="Q24" t="str">
            <v>Øl</v>
          </cell>
          <cell r="R24" t="str">
            <v>Porter &amp; stout</v>
          </cell>
          <cell r="S24" t="str">
            <v>50134</v>
          </cell>
          <cell r="T24" t="str">
            <v>85</v>
          </cell>
          <cell r="U24" t="str">
            <v>Øl, overgjæret</v>
          </cell>
          <cell r="V24" t="str">
            <v>X</v>
          </cell>
          <cell r="W24" t="str">
            <v>0</v>
          </cell>
          <cell r="X24" t="str">
            <v/>
          </cell>
          <cell r="Y24" t="str">
            <v>Danmark</v>
          </cell>
          <cell r="Z24" t="str">
            <v>Øvrige</v>
          </cell>
          <cell r="AA24" t="str">
            <v/>
          </cell>
          <cell r="AB24" t="str">
            <v/>
          </cell>
          <cell r="AC24" t="str">
            <v/>
          </cell>
          <cell r="AD24" t="str">
            <v>600044</v>
          </cell>
          <cell r="AE24" t="str">
            <v>Amager Bryghus</v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>Gluten</v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>0</v>
          </cell>
          <cell r="AS24" t="str">
            <v/>
          </cell>
          <cell r="AT24" t="str">
            <v>0</v>
          </cell>
          <cell r="AU24" t="str">
            <v/>
          </cell>
          <cell r="AV24" t="str">
            <v>0</v>
          </cell>
          <cell r="AW24" t="str">
            <v/>
          </cell>
          <cell r="AX24" t="str">
            <v>0</v>
          </cell>
          <cell r="AY24" t="str">
            <v/>
          </cell>
          <cell r="AZ24" t="str">
            <v>0</v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>03</v>
          </cell>
          <cell r="BY24" t="str">
            <v>Glass</v>
          </cell>
          <cell r="BZ24" t="str">
            <v/>
          </cell>
          <cell r="CA24">
            <v>0</v>
          </cell>
          <cell r="CB24" t="str">
            <v>1</v>
          </cell>
          <cell r="CC24" t="str">
            <v/>
          </cell>
          <cell r="CD24">
            <v>14</v>
          </cell>
        </row>
        <row r="25">
          <cell r="A25">
            <v>16757801</v>
          </cell>
          <cell r="B25" t="str">
            <v/>
          </cell>
          <cell r="C25" t="str">
            <v>Amager Bryghus Sally Skull (American Outlaws)</v>
          </cell>
          <cell r="D25" t="str">
            <v>Amager Bryghus Sally Skull</v>
          </cell>
          <cell r="E25" t="str">
            <v>Amager Bryghus Sally Skull</v>
          </cell>
          <cell r="F25">
            <v>45316</v>
          </cell>
          <cell r="G25" t="str">
            <v>31</v>
          </cell>
          <cell r="H25" t="str">
            <v>Spesialutvalg</v>
          </cell>
          <cell r="I25">
            <v>45258</v>
          </cell>
          <cell r="J25">
            <v>2958465</v>
          </cell>
          <cell r="K25"/>
          <cell r="L25" t="str">
            <v/>
          </cell>
          <cell r="M25" t="str">
            <v/>
          </cell>
          <cell r="N25" t="str">
            <v/>
          </cell>
          <cell r="O25"/>
          <cell r="P25" t="str">
            <v>Øl</v>
          </cell>
          <cell r="Q25" t="str">
            <v>Øl</v>
          </cell>
          <cell r="R25" t="str">
            <v>Scotch ale</v>
          </cell>
          <cell r="S25" t="str">
            <v>50131</v>
          </cell>
          <cell r="T25" t="str">
            <v>85</v>
          </cell>
          <cell r="U25" t="str">
            <v>Øl, overgjæret</v>
          </cell>
          <cell r="V25" t="str">
            <v>X</v>
          </cell>
          <cell r="W25" t="str">
            <v>0</v>
          </cell>
          <cell r="X25" t="str">
            <v/>
          </cell>
          <cell r="Y25" t="str">
            <v>Danmark</v>
          </cell>
          <cell r="Z25" t="str">
            <v>Øvrige</v>
          </cell>
          <cell r="AA25" t="str">
            <v/>
          </cell>
          <cell r="AB25" t="str">
            <v/>
          </cell>
          <cell r="AC25" t="str">
            <v/>
          </cell>
          <cell r="AD25" t="str">
            <v>600044</v>
          </cell>
          <cell r="AE25" t="str">
            <v>Amager Bryghus</v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>Gluten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>0</v>
          </cell>
          <cell r="AS25" t="str">
            <v/>
          </cell>
          <cell r="AT25" t="str">
            <v>0</v>
          </cell>
          <cell r="AU25" t="str">
            <v/>
          </cell>
          <cell r="AV25" t="str">
            <v>0</v>
          </cell>
          <cell r="AW25" t="str">
            <v/>
          </cell>
          <cell r="AX25" t="str">
            <v>0</v>
          </cell>
          <cell r="AY25" t="str">
            <v/>
          </cell>
          <cell r="AZ25" t="str">
            <v>0</v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>03</v>
          </cell>
          <cell r="BY25" t="str">
            <v>Glass</v>
          </cell>
          <cell r="BZ25" t="str">
            <v/>
          </cell>
          <cell r="CA25">
            <v>0</v>
          </cell>
          <cell r="CB25" t="str">
            <v>1</v>
          </cell>
          <cell r="CC25" t="str">
            <v/>
          </cell>
          <cell r="CD25">
            <v>12.5</v>
          </cell>
        </row>
        <row r="26">
          <cell r="A26">
            <v>16758504</v>
          </cell>
          <cell r="B26" t="str">
            <v/>
          </cell>
          <cell r="C26" t="str">
            <v>Brutes Alright Alright Alright</v>
          </cell>
          <cell r="D26" t="str">
            <v>Brutes Alright Alright Alright</v>
          </cell>
          <cell r="E26" t="str">
            <v>Brutes Alright Alright Alright</v>
          </cell>
          <cell r="F26">
            <v>45316</v>
          </cell>
          <cell r="G26" t="str">
            <v>31</v>
          </cell>
          <cell r="H26" t="str">
            <v>Spesialutvalg</v>
          </cell>
          <cell r="I26">
            <v>45258</v>
          </cell>
          <cell r="J26">
            <v>2958465</v>
          </cell>
          <cell r="K26"/>
          <cell r="L26" t="str">
            <v/>
          </cell>
          <cell r="M26" t="str">
            <v/>
          </cell>
          <cell r="N26" t="str">
            <v/>
          </cell>
          <cell r="O26"/>
          <cell r="P26" t="str">
            <v>Svakvin</v>
          </cell>
          <cell r="Q26" t="str">
            <v>Sider</v>
          </cell>
          <cell r="R26" t="str">
            <v>Sider</v>
          </cell>
          <cell r="S26" t="str">
            <v>11201</v>
          </cell>
          <cell r="T26" t="str">
            <v>144</v>
          </cell>
          <cell r="U26" t="str">
            <v>Sider</v>
          </cell>
          <cell r="V26" t="str">
            <v>X</v>
          </cell>
          <cell r="W26" t="str">
            <v>2022</v>
          </cell>
          <cell r="X26" t="str">
            <v/>
          </cell>
          <cell r="Y26" t="str">
            <v>Sverige</v>
          </cell>
          <cell r="Z26" t="str">
            <v>Øvrige</v>
          </cell>
          <cell r="AA26" t="str">
            <v>Øvrige</v>
          </cell>
          <cell r="AB26" t="str">
            <v/>
          </cell>
          <cell r="AC26" t="str">
            <v/>
          </cell>
          <cell r="AD26" t="str">
            <v>2267824</v>
          </cell>
          <cell r="AE26" t="str">
            <v>Brutes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>Sulfitt</v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>0</v>
          </cell>
          <cell r="AS26" t="str">
            <v/>
          </cell>
          <cell r="AT26" t="str">
            <v>0</v>
          </cell>
          <cell r="AU26" t="str">
            <v/>
          </cell>
          <cell r="AV26" t="str">
            <v>0</v>
          </cell>
          <cell r="AW26" t="str">
            <v/>
          </cell>
          <cell r="AX26" t="str">
            <v>0</v>
          </cell>
          <cell r="AY26" t="str">
            <v/>
          </cell>
          <cell r="AZ26" t="str">
            <v>0</v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>9</v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>09</v>
          </cell>
          <cell r="BY26" t="str">
            <v>Metall</v>
          </cell>
          <cell r="BZ26" t="str">
            <v>X</v>
          </cell>
          <cell r="CA26">
            <v>0</v>
          </cell>
          <cell r="CB26" t="str">
            <v>1</v>
          </cell>
          <cell r="CC26" t="str">
            <v/>
          </cell>
          <cell r="CD26">
            <v>6</v>
          </cell>
        </row>
        <row r="27">
          <cell r="A27">
            <v>16758604</v>
          </cell>
          <cell r="B27" t="str">
            <v/>
          </cell>
          <cell r="C27" t="str">
            <v>Brutes Blood of Jupiter</v>
          </cell>
          <cell r="D27" t="str">
            <v>Brutes Blood of Jupiter</v>
          </cell>
          <cell r="E27" t="str">
            <v>Brutes Blood of Jupiter</v>
          </cell>
          <cell r="F27">
            <v>45316</v>
          </cell>
          <cell r="G27" t="str">
            <v>31</v>
          </cell>
          <cell r="H27" t="str">
            <v>Spesialutvalg</v>
          </cell>
          <cell r="I27">
            <v>45258</v>
          </cell>
          <cell r="J27">
            <v>2958465</v>
          </cell>
          <cell r="K27"/>
          <cell r="L27" t="str">
            <v/>
          </cell>
          <cell r="M27" t="str">
            <v/>
          </cell>
          <cell r="N27" t="str">
            <v/>
          </cell>
          <cell r="O27"/>
          <cell r="P27" t="str">
            <v>Svakvin</v>
          </cell>
          <cell r="Q27" t="str">
            <v>Sider</v>
          </cell>
          <cell r="R27" t="str">
            <v>Sider</v>
          </cell>
          <cell r="S27" t="str">
            <v>11201</v>
          </cell>
          <cell r="T27" t="str">
            <v>144</v>
          </cell>
          <cell r="U27" t="str">
            <v>Sider</v>
          </cell>
          <cell r="V27" t="str">
            <v>X</v>
          </cell>
          <cell r="W27" t="str">
            <v>0</v>
          </cell>
          <cell r="X27" t="str">
            <v/>
          </cell>
          <cell r="Y27" t="str">
            <v>Sverige</v>
          </cell>
          <cell r="Z27" t="str">
            <v>Øvrige</v>
          </cell>
          <cell r="AA27" t="str">
            <v>Øvrige</v>
          </cell>
          <cell r="AB27" t="str">
            <v/>
          </cell>
          <cell r="AC27" t="str">
            <v/>
          </cell>
          <cell r="AD27" t="str">
            <v>2267824</v>
          </cell>
          <cell r="AE27" t="str">
            <v>Brutes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>Sulfitt</v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>0</v>
          </cell>
          <cell r="AS27" t="str">
            <v/>
          </cell>
          <cell r="AT27" t="str">
            <v>0</v>
          </cell>
          <cell r="AU27" t="str">
            <v/>
          </cell>
          <cell r="AV27" t="str">
            <v>0</v>
          </cell>
          <cell r="AW27" t="str">
            <v/>
          </cell>
          <cell r="AX27" t="str">
            <v>0</v>
          </cell>
          <cell r="AY27" t="str">
            <v/>
          </cell>
          <cell r="AZ27" t="str">
            <v>0</v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>5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>09</v>
          </cell>
          <cell r="BY27" t="str">
            <v>Metall</v>
          </cell>
          <cell r="BZ27" t="str">
            <v>X</v>
          </cell>
          <cell r="CA27">
            <v>0</v>
          </cell>
          <cell r="CB27" t="str">
            <v>1</v>
          </cell>
          <cell r="CC27" t="str">
            <v/>
          </cell>
          <cell r="CD27">
            <v>7</v>
          </cell>
        </row>
        <row r="28">
          <cell r="A28">
            <v>16768302</v>
          </cell>
          <cell r="B28" t="str">
            <v/>
          </cell>
          <cell r="C28" t="str">
            <v>Bådin Coalesce 1</v>
          </cell>
          <cell r="D28" t="str">
            <v>Bådin Coalesce 1</v>
          </cell>
          <cell r="E28" t="str">
            <v>Bådin Coalesce 1</v>
          </cell>
          <cell r="F28">
            <v>45316</v>
          </cell>
          <cell r="G28" t="str">
            <v>31</v>
          </cell>
          <cell r="H28" t="str">
            <v>Spesialutvalg</v>
          </cell>
          <cell r="I28">
            <v>45260</v>
          </cell>
          <cell r="J28">
            <v>2958465</v>
          </cell>
          <cell r="K28"/>
          <cell r="L28" t="str">
            <v/>
          </cell>
          <cell r="M28" t="str">
            <v/>
          </cell>
          <cell r="N28" t="str">
            <v/>
          </cell>
          <cell r="O28"/>
          <cell r="P28" t="str">
            <v>Øl</v>
          </cell>
          <cell r="Q28" t="str">
            <v>Øl</v>
          </cell>
          <cell r="R28" t="str">
            <v>Saison farmhouse ale</v>
          </cell>
          <cell r="S28" t="str">
            <v>50116</v>
          </cell>
          <cell r="T28" t="str">
            <v>85</v>
          </cell>
          <cell r="U28" t="str">
            <v>Øl, overgjæret</v>
          </cell>
          <cell r="V28" t="str">
            <v>X</v>
          </cell>
          <cell r="W28" t="str">
            <v>0</v>
          </cell>
          <cell r="X28" t="str">
            <v/>
          </cell>
          <cell r="Y28" t="str">
            <v>Norge</v>
          </cell>
          <cell r="Z28" t="str">
            <v>Nordland</v>
          </cell>
          <cell r="AA28" t="str">
            <v>Bodø</v>
          </cell>
          <cell r="AB28" t="str">
            <v/>
          </cell>
          <cell r="AC28" t="str">
            <v>X</v>
          </cell>
          <cell r="AD28" t="str">
            <v>600887</v>
          </cell>
          <cell r="AE28" t="str">
            <v>Bådin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>Gluten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>0</v>
          </cell>
          <cell r="AS28" t="str">
            <v/>
          </cell>
          <cell r="AT28" t="str">
            <v>0</v>
          </cell>
          <cell r="AU28" t="str">
            <v/>
          </cell>
          <cell r="AV28" t="str">
            <v>0</v>
          </cell>
          <cell r="AW28" t="str">
            <v/>
          </cell>
          <cell r="AX28" t="str">
            <v>0</v>
          </cell>
          <cell r="AY28" t="str">
            <v/>
          </cell>
          <cell r="AZ28" t="str">
            <v>0</v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>Y</v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>21</v>
          </cell>
          <cell r="BY28" t="str">
            <v>Metall (pant)</v>
          </cell>
          <cell r="BZ28" t="str">
            <v>X</v>
          </cell>
          <cell r="CA28">
            <v>15</v>
          </cell>
          <cell r="CB28" t="str">
            <v>1</v>
          </cell>
          <cell r="CC28" t="str">
            <v/>
          </cell>
          <cell r="CD28">
            <v>10.3</v>
          </cell>
        </row>
        <row r="29">
          <cell r="A29">
            <v>16768402</v>
          </cell>
          <cell r="B29" t="str">
            <v/>
          </cell>
          <cell r="C29" t="str">
            <v>Bådin Coalesce 2</v>
          </cell>
          <cell r="D29" t="str">
            <v>Bådin Coalesce 2</v>
          </cell>
          <cell r="E29" t="str">
            <v>Bådin Coalesce 2</v>
          </cell>
          <cell r="F29">
            <v>45316</v>
          </cell>
          <cell r="G29" t="str">
            <v>31</v>
          </cell>
          <cell r="H29" t="str">
            <v>Spesialutvalg</v>
          </cell>
          <cell r="I29">
            <v>45260</v>
          </cell>
          <cell r="J29">
            <v>2958465</v>
          </cell>
          <cell r="K29"/>
          <cell r="L29" t="str">
            <v/>
          </cell>
          <cell r="M29" t="str">
            <v/>
          </cell>
          <cell r="N29" t="str">
            <v/>
          </cell>
          <cell r="O29"/>
          <cell r="P29" t="str">
            <v>Øl</v>
          </cell>
          <cell r="Q29" t="str">
            <v>Øl</v>
          </cell>
          <cell r="R29" t="str">
            <v>Saison farmhouse ale</v>
          </cell>
          <cell r="S29" t="str">
            <v>50116</v>
          </cell>
          <cell r="T29" t="str">
            <v>85</v>
          </cell>
          <cell r="U29" t="str">
            <v>Øl, overgjæret</v>
          </cell>
          <cell r="V29" t="str">
            <v>X</v>
          </cell>
          <cell r="W29" t="str">
            <v>0</v>
          </cell>
          <cell r="X29" t="str">
            <v/>
          </cell>
          <cell r="Y29" t="str">
            <v>Norge</v>
          </cell>
          <cell r="Z29" t="str">
            <v>Nordland</v>
          </cell>
          <cell r="AA29" t="str">
            <v>Bodø</v>
          </cell>
          <cell r="AB29" t="str">
            <v/>
          </cell>
          <cell r="AC29" t="str">
            <v>X</v>
          </cell>
          <cell r="AD29" t="str">
            <v>600887</v>
          </cell>
          <cell r="AE29" t="str">
            <v>Bådin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>Gluten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>0</v>
          </cell>
          <cell r="AS29" t="str">
            <v/>
          </cell>
          <cell r="AT29" t="str">
            <v>0</v>
          </cell>
          <cell r="AU29" t="str">
            <v/>
          </cell>
          <cell r="AV29" t="str">
            <v>0</v>
          </cell>
          <cell r="AW29" t="str">
            <v/>
          </cell>
          <cell r="AX29" t="str">
            <v>0</v>
          </cell>
          <cell r="AY29" t="str">
            <v/>
          </cell>
          <cell r="AZ29" t="str">
            <v>0</v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>Y</v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>21</v>
          </cell>
          <cell r="BY29" t="str">
            <v>Metall (pant)</v>
          </cell>
          <cell r="BZ29" t="str">
            <v>X</v>
          </cell>
          <cell r="CA29">
            <v>0</v>
          </cell>
          <cell r="CB29" t="str">
            <v>1</v>
          </cell>
          <cell r="CC29" t="str">
            <v/>
          </cell>
          <cell r="CD29">
            <v>8.3000000000000007</v>
          </cell>
        </row>
        <row r="30">
          <cell r="A30">
            <v>16772602</v>
          </cell>
          <cell r="B30" t="str">
            <v/>
          </cell>
          <cell r="C30" t="str">
            <v>Toppling Goliath Term Oil Fluffernutter</v>
          </cell>
          <cell r="D30" t="str">
            <v>Toppling Goliath Term Oil Fluffernutter</v>
          </cell>
          <cell r="E30" t="str">
            <v>Toppling Goliath Term Oil Fluffernutter</v>
          </cell>
          <cell r="F30">
            <v>45316</v>
          </cell>
          <cell r="G30" t="str">
            <v>31</v>
          </cell>
          <cell r="H30" t="str">
            <v>Spesialutvalg</v>
          </cell>
          <cell r="I30">
            <v>45260</v>
          </cell>
          <cell r="J30">
            <v>2958465</v>
          </cell>
          <cell r="K30"/>
          <cell r="L30" t="str">
            <v/>
          </cell>
          <cell r="M30" t="str">
            <v/>
          </cell>
          <cell r="N30" t="str">
            <v/>
          </cell>
          <cell r="O30"/>
          <cell r="P30" t="str">
            <v>Øl</v>
          </cell>
          <cell r="Q30" t="str">
            <v>Øl</v>
          </cell>
          <cell r="R30" t="str">
            <v>Porter &amp; stout</v>
          </cell>
          <cell r="S30" t="str">
            <v>50134</v>
          </cell>
          <cell r="T30" t="str">
            <v>85</v>
          </cell>
          <cell r="U30" t="str">
            <v>Øl, overgjæret</v>
          </cell>
          <cell r="V30" t="str">
            <v>X</v>
          </cell>
          <cell r="W30" t="str">
            <v>0</v>
          </cell>
          <cell r="X30" t="str">
            <v/>
          </cell>
          <cell r="Y30" t="str">
            <v>USA</v>
          </cell>
          <cell r="Z30" t="str">
            <v>Øvrige</v>
          </cell>
          <cell r="AA30" t="str">
            <v/>
          </cell>
          <cell r="AB30" t="str">
            <v/>
          </cell>
          <cell r="AC30" t="str">
            <v/>
          </cell>
          <cell r="AD30" t="str">
            <v>2030596</v>
          </cell>
          <cell r="AE30" t="str">
            <v>Toppling Goliath Brewing Co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>Gluten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>0</v>
          </cell>
          <cell r="AS30" t="str">
            <v/>
          </cell>
          <cell r="AT30" t="str">
            <v>0</v>
          </cell>
          <cell r="AU30" t="str">
            <v/>
          </cell>
          <cell r="AV30" t="str">
            <v>0</v>
          </cell>
          <cell r="AW30" t="str">
            <v/>
          </cell>
          <cell r="AX30" t="str">
            <v>0</v>
          </cell>
          <cell r="AY30" t="str">
            <v/>
          </cell>
          <cell r="AZ30" t="str">
            <v>0</v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>03</v>
          </cell>
          <cell r="BY30" t="str">
            <v>Glass</v>
          </cell>
          <cell r="BZ30" t="str">
            <v/>
          </cell>
          <cell r="CA30">
            <v>0</v>
          </cell>
          <cell r="CB30" t="str">
            <v>1</v>
          </cell>
          <cell r="CC30" t="str">
            <v/>
          </cell>
          <cell r="CD30">
            <v>13.1</v>
          </cell>
        </row>
        <row r="31">
          <cell r="A31">
            <v>16775801</v>
          </cell>
          <cell r="B31" t="str">
            <v/>
          </cell>
          <cell r="C31" t="str">
            <v>Lindheim Impure Rouge</v>
          </cell>
          <cell r="D31" t="str">
            <v>Lindheim Impure Rouge</v>
          </cell>
          <cell r="E31" t="str">
            <v>Lindheim Impure Rouge</v>
          </cell>
          <cell r="F31">
            <v>45316</v>
          </cell>
          <cell r="G31" t="str">
            <v>31</v>
          </cell>
          <cell r="H31" t="str">
            <v>Spesialutvalg</v>
          </cell>
          <cell r="I31">
            <v>45260</v>
          </cell>
          <cell r="J31">
            <v>2958465</v>
          </cell>
          <cell r="K31"/>
          <cell r="L31" t="str">
            <v/>
          </cell>
          <cell r="M31" t="str">
            <v/>
          </cell>
          <cell r="N31" t="str">
            <v/>
          </cell>
          <cell r="O31"/>
          <cell r="P31" t="str">
            <v>Svakvin</v>
          </cell>
          <cell r="Q31" t="str">
            <v>Sider</v>
          </cell>
          <cell r="R31" t="str">
            <v>Sider</v>
          </cell>
          <cell r="S31" t="str">
            <v>11201</v>
          </cell>
          <cell r="T31" t="str">
            <v>144</v>
          </cell>
          <cell r="U31" t="str">
            <v>Sider</v>
          </cell>
          <cell r="V31" t="str">
            <v>X</v>
          </cell>
          <cell r="W31" t="str">
            <v>0</v>
          </cell>
          <cell r="X31" t="str">
            <v/>
          </cell>
          <cell r="Y31" t="str">
            <v>Norge</v>
          </cell>
          <cell r="Z31" t="str">
            <v>Vestfold og Telemark</v>
          </cell>
          <cell r="AA31" t="str">
            <v>Midt-Telemark</v>
          </cell>
          <cell r="AB31" t="str">
            <v/>
          </cell>
          <cell r="AC31" t="str">
            <v/>
          </cell>
          <cell r="AD31" t="str">
            <v>601639</v>
          </cell>
          <cell r="AE31" t="str">
            <v>Lindheim ølkompani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>Sulfitt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>0</v>
          </cell>
          <cell r="AS31" t="str">
            <v/>
          </cell>
          <cell r="AT31" t="str">
            <v>0</v>
          </cell>
          <cell r="AU31" t="str">
            <v/>
          </cell>
          <cell r="AV31" t="str">
            <v>0</v>
          </cell>
          <cell r="AW31" t="str">
            <v/>
          </cell>
          <cell r="AX31" t="str">
            <v>0</v>
          </cell>
          <cell r="AY31" t="str">
            <v/>
          </cell>
          <cell r="AZ31" t="str">
            <v>0</v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>2</v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>Y</v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>03</v>
          </cell>
          <cell r="BY31" t="str">
            <v>Glass</v>
          </cell>
          <cell r="BZ31" t="str">
            <v/>
          </cell>
          <cell r="CA31">
            <v>0</v>
          </cell>
          <cell r="CB31" t="str">
            <v>1</v>
          </cell>
          <cell r="CC31" t="str">
            <v/>
          </cell>
          <cell r="CD31">
            <v>7</v>
          </cell>
        </row>
        <row r="32">
          <cell r="A32">
            <v>16779801</v>
          </cell>
          <cell r="B32" t="str">
            <v/>
          </cell>
          <cell r="C32" t="str">
            <v>Ægir Brageskål Fatlagret Imperial Scotch Ale</v>
          </cell>
          <cell r="D32" t="str">
            <v>Ægir Brageskål Fatlagret Imp. Scotch Ale</v>
          </cell>
          <cell r="E32" t="str">
            <v>Ægir Brageskål Fatlagret Imp. Scotch Ale</v>
          </cell>
          <cell r="F32">
            <v>45316</v>
          </cell>
          <cell r="G32" t="str">
            <v>31</v>
          </cell>
          <cell r="H32" t="str">
            <v>Spesialutvalg</v>
          </cell>
          <cell r="I32">
            <v>45261</v>
          </cell>
          <cell r="J32">
            <v>2958465</v>
          </cell>
          <cell r="K32"/>
          <cell r="L32" t="str">
            <v/>
          </cell>
          <cell r="M32" t="str">
            <v/>
          </cell>
          <cell r="N32" t="str">
            <v/>
          </cell>
          <cell r="O32"/>
          <cell r="P32" t="str">
            <v>Øl</v>
          </cell>
          <cell r="Q32" t="str">
            <v>Øl</v>
          </cell>
          <cell r="R32" t="str">
            <v>Scotch ale</v>
          </cell>
          <cell r="S32" t="str">
            <v>50131</v>
          </cell>
          <cell r="T32" t="str">
            <v>85</v>
          </cell>
          <cell r="U32" t="str">
            <v>Øl, overgjæret</v>
          </cell>
          <cell r="V32" t="str">
            <v>X</v>
          </cell>
          <cell r="W32" t="str">
            <v>0</v>
          </cell>
          <cell r="X32" t="str">
            <v/>
          </cell>
          <cell r="Y32" t="str">
            <v>Norge</v>
          </cell>
          <cell r="Z32" t="str">
            <v>Vestland</v>
          </cell>
          <cell r="AA32" t="str">
            <v>Aurland</v>
          </cell>
          <cell r="AB32" t="str">
            <v/>
          </cell>
          <cell r="AC32" t="str">
            <v>X</v>
          </cell>
          <cell r="AD32" t="str">
            <v>62373</v>
          </cell>
          <cell r="AE32" t="str">
            <v>Ægir Bryggeri</v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>Gluten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>0</v>
          </cell>
          <cell r="AS32" t="str">
            <v/>
          </cell>
          <cell r="AT32" t="str">
            <v>0</v>
          </cell>
          <cell r="AU32" t="str">
            <v/>
          </cell>
          <cell r="AV32" t="str">
            <v>0</v>
          </cell>
          <cell r="AW32" t="str">
            <v/>
          </cell>
          <cell r="AX32" t="str">
            <v>0</v>
          </cell>
          <cell r="AY32" t="str">
            <v/>
          </cell>
          <cell r="AZ32" t="str">
            <v>0</v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>Y</v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>03</v>
          </cell>
          <cell r="BY32" t="str">
            <v>Glass</v>
          </cell>
          <cell r="BZ32" t="str">
            <v/>
          </cell>
          <cell r="CA32">
            <v>0</v>
          </cell>
          <cell r="CB32" t="str">
            <v>1</v>
          </cell>
          <cell r="CC32" t="str">
            <v/>
          </cell>
          <cell r="CD32">
            <v>18</v>
          </cell>
        </row>
        <row r="33">
          <cell r="A33">
            <v>16779901</v>
          </cell>
          <cell r="B33" t="str">
            <v/>
          </cell>
          <cell r="C33" t="str">
            <v>Ægir Ragnarok Quadrupel 6 YO</v>
          </cell>
          <cell r="D33" t="str">
            <v>Ægir Ragnarok Quadrupel 6 YO</v>
          </cell>
          <cell r="E33" t="str">
            <v>Ægir Ragnarok Quadrupel 6 YO</v>
          </cell>
          <cell r="F33">
            <v>45316</v>
          </cell>
          <cell r="G33" t="str">
            <v>31</v>
          </cell>
          <cell r="H33" t="str">
            <v>Spesialutvalg</v>
          </cell>
          <cell r="I33">
            <v>45261</v>
          </cell>
          <cell r="J33">
            <v>2958465</v>
          </cell>
          <cell r="K33"/>
          <cell r="L33" t="str">
            <v/>
          </cell>
          <cell r="M33" t="str">
            <v/>
          </cell>
          <cell r="N33" t="str">
            <v/>
          </cell>
          <cell r="O33"/>
          <cell r="P33" t="str">
            <v>Øl</v>
          </cell>
          <cell r="Q33" t="str">
            <v>Øl</v>
          </cell>
          <cell r="R33" t="str">
            <v>Spesial</v>
          </cell>
          <cell r="S33" t="str">
            <v>50146</v>
          </cell>
          <cell r="T33" t="str">
            <v>85</v>
          </cell>
          <cell r="U33" t="str">
            <v>Øl, overgjæret</v>
          </cell>
          <cell r="V33" t="str">
            <v>X</v>
          </cell>
          <cell r="W33" t="str">
            <v>0</v>
          </cell>
          <cell r="X33" t="str">
            <v/>
          </cell>
          <cell r="Y33" t="str">
            <v>Norge</v>
          </cell>
          <cell r="Z33" t="str">
            <v>Vestland</v>
          </cell>
          <cell r="AA33" t="str">
            <v>Aurland</v>
          </cell>
          <cell r="AB33" t="str">
            <v/>
          </cell>
          <cell r="AC33" t="str">
            <v>X</v>
          </cell>
          <cell r="AD33" t="str">
            <v>62373</v>
          </cell>
          <cell r="AE33" t="str">
            <v>Ægir Bryggeri</v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>Gluten</v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>0</v>
          </cell>
          <cell r="AS33" t="str">
            <v/>
          </cell>
          <cell r="AT33" t="str">
            <v>0</v>
          </cell>
          <cell r="AU33" t="str">
            <v/>
          </cell>
          <cell r="AV33" t="str">
            <v>0</v>
          </cell>
          <cell r="AW33" t="str">
            <v/>
          </cell>
          <cell r="AX33" t="str">
            <v>0</v>
          </cell>
          <cell r="AY33" t="str">
            <v/>
          </cell>
          <cell r="AZ33" t="str">
            <v>0</v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>Y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>03</v>
          </cell>
          <cell r="BY33" t="str">
            <v>Glass</v>
          </cell>
          <cell r="BZ33" t="str">
            <v/>
          </cell>
          <cell r="CA33">
            <v>0</v>
          </cell>
          <cell r="CB33" t="str">
            <v>1</v>
          </cell>
          <cell r="CC33" t="str">
            <v/>
          </cell>
          <cell r="CD33">
            <v>14</v>
          </cell>
        </row>
        <row r="34">
          <cell r="A34">
            <v>16782102</v>
          </cell>
          <cell r="B34" t="str">
            <v/>
          </cell>
          <cell r="C34" t="str">
            <v>Vocation American Brown Ale</v>
          </cell>
          <cell r="D34" t="str">
            <v>Vocation American Brown Ale</v>
          </cell>
          <cell r="E34" t="str">
            <v>Vocation American Brown Ale</v>
          </cell>
          <cell r="F34">
            <v>45316</v>
          </cell>
          <cell r="G34" t="str">
            <v>31</v>
          </cell>
          <cell r="H34" t="str">
            <v>Spesialutvalg</v>
          </cell>
          <cell r="I34">
            <v>45264</v>
          </cell>
          <cell r="J34">
            <v>2958465</v>
          </cell>
          <cell r="K34"/>
          <cell r="L34" t="str">
            <v/>
          </cell>
          <cell r="M34" t="str">
            <v/>
          </cell>
          <cell r="N34" t="str">
            <v/>
          </cell>
          <cell r="O34"/>
          <cell r="P34" t="str">
            <v>Øl</v>
          </cell>
          <cell r="Q34" t="str">
            <v>Øl</v>
          </cell>
          <cell r="R34" t="str">
            <v>Brown ale</v>
          </cell>
          <cell r="S34" t="str">
            <v>50128</v>
          </cell>
          <cell r="T34" t="str">
            <v>85</v>
          </cell>
          <cell r="U34" t="str">
            <v>Øl, overgjæret</v>
          </cell>
          <cell r="V34" t="str">
            <v>X</v>
          </cell>
          <cell r="W34" t="str">
            <v>0</v>
          </cell>
          <cell r="X34" t="str">
            <v/>
          </cell>
          <cell r="Y34" t="str">
            <v>England</v>
          </cell>
          <cell r="Z34" t="str">
            <v>Øvrige</v>
          </cell>
          <cell r="AA34" t="str">
            <v/>
          </cell>
          <cell r="AB34" t="str">
            <v/>
          </cell>
          <cell r="AC34" t="str">
            <v/>
          </cell>
          <cell r="AD34" t="str">
            <v>603240</v>
          </cell>
          <cell r="AE34" t="str">
            <v>Vocation Brewery</v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>Gluten</v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0</v>
          </cell>
          <cell r="AS34" t="str">
            <v/>
          </cell>
          <cell r="AT34" t="str">
            <v>0</v>
          </cell>
          <cell r="AU34" t="str">
            <v/>
          </cell>
          <cell r="AV34" t="str">
            <v>0</v>
          </cell>
          <cell r="AW34" t="str">
            <v/>
          </cell>
          <cell r="AX34" t="str">
            <v>0</v>
          </cell>
          <cell r="AY34" t="str">
            <v/>
          </cell>
          <cell r="AZ34" t="str">
            <v>0</v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>X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>03</v>
          </cell>
          <cell r="BY34" t="str">
            <v>Glass</v>
          </cell>
          <cell r="BZ34" t="str">
            <v/>
          </cell>
          <cell r="CA34">
            <v>0</v>
          </cell>
          <cell r="CB34" t="str">
            <v>1</v>
          </cell>
          <cell r="CC34" t="str">
            <v/>
          </cell>
          <cell r="CD34">
            <v>12.2</v>
          </cell>
        </row>
        <row r="35">
          <cell r="A35">
            <v>16782201</v>
          </cell>
          <cell r="B35" t="str">
            <v/>
          </cell>
          <cell r="C35" t="str">
            <v>Delirium Blond Barrel Aged</v>
          </cell>
          <cell r="D35" t="str">
            <v>Delirium Blond Barrel Aged</v>
          </cell>
          <cell r="E35" t="str">
            <v>Delirium Blond Barrel Aged</v>
          </cell>
          <cell r="F35">
            <v>45316</v>
          </cell>
          <cell r="G35" t="str">
            <v>31</v>
          </cell>
          <cell r="H35" t="str">
            <v>Spesialutvalg</v>
          </cell>
          <cell r="I35">
            <v>45264</v>
          </cell>
          <cell r="J35">
            <v>2958465</v>
          </cell>
          <cell r="K35"/>
          <cell r="L35" t="str">
            <v/>
          </cell>
          <cell r="M35" t="str">
            <v/>
          </cell>
          <cell r="N35" t="str">
            <v/>
          </cell>
          <cell r="O35"/>
          <cell r="P35" t="str">
            <v>Øl</v>
          </cell>
          <cell r="Q35" t="str">
            <v>Øl</v>
          </cell>
          <cell r="R35" t="str">
            <v>Klosterstil</v>
          </cell>
          <cell r="S35" t="str">
            <v>50119</v>
          </cell>
          <cell r="T35" t="str">
            <v>85</v>
          </cell>
          <cell r="U35" t="str">
            <v>Øl, overgjæret</v>
          </cell>
          <cell r="V35" t="str">
            <v>X</v>
          </cell>
          <cell r="W35" t="str">
            <v>0</v>
          </cell>
          <cell r="X35" t="str">
            <v/>
          </cell>
          <cell r="Y35" t="str">
            <v>Belgia</v>
          </cell>
          <cell r="Z35" t="str">
            <v>Øvrige</v>
          </cell>
          <cell r="AA35" t="str">
            <v/>
          </cell>
          <cell r="AB35" t="str">
            <v/>
          </cell>
          <cell r="AC35" t="str">
            <v/>
          </cell>
          <cell r="AD35" t="str">
            <v>61543</v>
          </cell>
          <cell r="AE35" t="str">
            <v>Huyghe</v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>Gluten</v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>0</v>
          </cell>
          <cell r="AS35" t="str">
            <v/>
          </cell>
          <cell r="AT35" t="str">
            <v>0</v>
          </cell>
          <cell r="AU35" t="str">
            <v/>
          </cell>
          <cell r="AV35" t="str">
            <v>0</v>
          </cell>
          <cell r="AW35" t="str">
            <v/>
          </cell>
          <cell r="AX35" t="str">
            <v>0</v>
          </cell>
          <cell r="AY35" t="str">
            <v/>
          </cell>
          <cell r="AZ35" t="str">
            <v>0</v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>Y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>03</v>
          </cell>
          <cell r="BY35" t="str">
            <v>Glass</v>
          </cell>
          <cell r="BZ35" t="str">
            <v/>
          </cell>
          <cell r="CA35">
            <v>0</v>
          </cell>
          <cell r="CB35" t="str">
            <v>1</v>
          </cell>
          <cell r="CC35" t="str">
            <v/>
          </cell>
          <cell r="CD35">
            <v>11.5</v>
          </cell>
        </row>
        <row r="36">
          <cell r="A36">
            <v>16782302</v>
          </cell>
          <cell r="B36" t="str">
            <v/>
          </cell>
          <cell r="C36" t="str">
            <v>Vocation Vanilla Smoked Imperial Stout Barrel Aged</v>
          </cell>
          <cell r="D36" t="str">
            <v>Vocation Vanilla Smoked Imp. Stout BA</v>
          </cell>
          <cell r="E36" t="str">
            <v>Vocation Vanilla Smoked Imp. Stout BA</v>
          </cell>
          <cell r="F36">
            <v>45316</v>
          </cell>
          <cell r="G36" t="str">
            <v>31</v>
          </cell>
          <cell r="H36" t="str">
            <v>Spesialutvalg</v>
          </cell>
          <cell r="I36">
            <v>45264</v>
          </cell>
          <cell r="J36">
            <v>2958465</v>
          </cell>
          <cell r="K36"/>
          <cell r="L36" t="str">
            <v/>
          </cell>
          <cell r="M36" t="str">
            <v/>
          </cell>
          <cell r="N36" t="str">
            <v/>
          </cell>
          <cell r="O36"/>
          <cell r="P36" t="str">
            <v>Øl</v>
          </cell>
          <cell r="Q36" t="str">
            <v>Øl</v>
          </cell>
          <cell r="R36" t="str">
            <v>Porter &amp; stout</v>
          </cell>
          <cell r="S36" t="str">
            <v>50134</v>
          </cell>
          <cell r="T36" t="str">
            <v>85</v>
          </cell>
          <cell r="U36" t="str">
            <v>Øl, overgjæret</v>
          </cell>
          <cell r="V36" t="str">
            <v>X</v>
          </cell>
          <cell r="W36" t="str">
            <v>0</v>
          </cell>
          <cell r="X36" t="str">
            <v/>
          </cell>
          <cell r="Y36" t="str">
            <v>England</v>
          </cell>
          <cell r="Z36" t="str">
            <v>Øvrige</v>
          </cell>
          <cell r="AA36" t="str">
            <v/>
          </cell>
          <cell r="AB36" t="str">
            <v/>
          </cell>
          <cell r="AC36" t="str">
            <v/>
          </cell>
          <cell r="AD36" t="str">
            <v>603240</v>
          </cell>
          <cell r="AE36" t="str">
            <v>Vocation Brewery</v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>Gluten</v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>0</v>
          </cell>
          <cell r="AS36" t="str">
            <v/>
          </cell>
          <cell r="AT36" t="str">
            <v>0</v>
          </cell>
          <cell r="AU36" t="str">
            <v/>
          </cell>
          <cell r="AV36" t="str">
            <v>0</v>
          </cell>
          <cell r="AW36" t="str">
            <v/>
          </cell>
          <cell r="AX36" t="str">
            <v>0</v>
          </cell>
          <cell r="AY36" t="str">
            <v/>
          </cell>
          <cell r="AZ36" t="str">
            <v>0</v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>X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>03</v>
          </cell>
          <cell r="BY36" t="str">
            <v>Glass</v>
          </cell>
          <cell r="BZ36" t="str">
            <v/>
          </cell>
          <cell r="CA36">
            <v>0</v>
          </cell>
          <cell r="CB36" t="str">
            <v>1</v>
          </cell>
          <cell r="CC36" t="str">
            <v/>
          </cell>
          <cell r="CD36">
            <v>11.1</v>
          </cell>
        </row>
        <row r="37">
          <cell r="A37">
            <v>16796602</v>
          </cell>
          <cell r="B37" t="str">
            <v/>
          </cell>
          <cell r="C37" t="str">
            <v>Brouwerji Alvinne Cuvee De Mortage Carcavelos BA</v>
          </cell>
          <cell r="D37" t="str">
            <v>Alvinne Cuvée De Mortage Carcavelos BA</v>
          </cell>
          <cell r="E37" t="str">
            <v>Alvinne Cuvée De Mortage Carcavelos BA</v>
          </cell>
          <cell r="F37">
            <v>45316</v>
          </cell>
          <cell r="G37" t="str">
            <v>31</v>
          </cell>
          <cell r="H37" t="str">
            <v>Spesialutvalg</v>
          </cell>
          <cell r="I37">
            <v>45267</v>
          </cell>
          <cell r="J37">
            <v>2958465</v>
          </cell>
          <cell r="K37"/>
          <cell r="L37" t="str">
            <v/>
          </cell>
          <cell r="M37" t="str">
            <v/>
          </cell>
          <cell r="N37" t="str">
            <v/>
          </cell>
          <cell r="O37"/>
          <cell r="P37" t="str">
            <v>Øl</v>
          </cell>
          <cell r="Q37" t="str">
            <v>Øl</v>
          </cell>
          <cell r="R37" t="str">
            <v>Surøl</v>
          </cell>
          <cell r="S37" t="str">
            <v>50122</v>
          </cell>
          <cell r="T37" t="str">
            <v>141</v>
          </cell>
          <cell r="U37" t="str">
            <v>Øl, spontangjæret</v>
          </cell>
          <cell r="V37" t="str">
            <v>X</v>
          </cell>
          <cell r="W37" t="str">
            <v>0</v>
          </cell>
          <cell r="X37" t="str">
            <v/>
          </cell>
          <cell r="Y37" t="str">
            <v>Belgia</v>
          </cell>
          <cell r="Z37" t="str">
            <v>Øvrige</v>
          </cell>
          <cell r="AA37" t="str">
            <v/>
          </cell>
          <cell r="AB37" t="str">
            <v/>
          </cell>
          <cell r="AC37" t="str">
            <v/>
          </cell>
          <cell r="AD37" t="str">
            <v>603903</v>
          </cell>
          <cell r="AE37" t="str">
            <v>Brouwereji Alvinne</v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>Gluten</v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>0</v>
          </cell>
          <cell r="AS37" t="str">
            <v/>
          </cell>
          <cell r="AT37" t="str">
            <v>0</v>
          </cell>
          <cell r="AU37" t="str">
            <v/>
          </cell>
          <cell r="AV37" t="str">
            <v>0</v>
          </cell>
          <cell r="AW37" t="str">
            <v/>
          </cell>
          <cell r="AX37" t="str">
            <v>0</v>
          </cell>
          <cell r="AY37" t="str">
            <v/>
          </cell>
          <cell r="AZ37" t="str">
            <v>0</v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>03</v>
          </cell>
          <cell r="BY37" t="str">
            <v>Glass</v>
          </cell>
          <cell r="BZ37" t="str">
            <v/>
          </cell>
          <cell r="CA37">
            <v>0</v>
          </cell>
          <cell r="CB37" t="str">
            <v>1</v>
          </cell>
          <cell r="CC37" t="str">
            <v/>
          </cell>
          <cell r="CD37">
            <v>17</v>
          </cell>
        </row>
        <row r="38">
          <cell r="A38">
            <v>16796702</v>
          </cell>
          <cell r="B38" t="str">
            <v/>
          </cell>
          <cell r="C38" t="str">
            <v>Three Hills x Neonraptor Forbidden Ice Cream Pineapple, Apricot &amp; PeachSundae</v>
          </cell>
          <cell r="D38" t="str">
            <v>Three Hills Forbidden Ice Cream Pineap..</v>
          </cell>
          <cell r="E38" t="str">
            <v>Three Hills Forbidden Ice Cream Pineap..</v>
          </cell>
          <cell r="F38">
            <v>45316</v>
          </cell>
          <cell r="G38" t="str">
            <v>31</v>
          </cell>
          <cell r="H38" t="str">
            <v>Spesialutvalg</v>
          </cell>
          <cell r="I38">
            <v>45267</v>
          </cell>
          <cell r="J38">
            <v>2958465</v>
          </cell>
          <cell r="K38"/>
          <cell r="L38" t="str">
            <v/>
          </cell>
          <cell r="M38" t="str">
            <v/>
          </cell>
          <cell r="N38" t="str">
            <v/>
          </cell>
          <cell r="O38"/>
          <cell r="P38" t="str">
            <v>Øl</v>
          </cell>
          <cell r="Q38" t="str">
            <v>Øl</v>
          </cell>
          <cell r="R38" t="str">
            <v>Surøl</v>
          </cell>
          <cell r="S38" t="str">
            <v>50122</v>
          </cell>
          <cell r="T38" t="str">
            <v>141</v>
          </cell>
          <cell r="U38" t="str">
            <v>Øl, spontangjæret</v>
          </cell>
          <cell r="V38" t="str">
            <v>X</v>
          </cell>
          <cell r="W38" t="str">
            <v>0</v>
          </cell>
          <cell r="X38" t="str">
            <v/>
          </cell>
          <cell r="Y38" t="str">
            <v>England</v>
          </cell>
          <cell r="Z38" t="str">
            <v>Øvrige</v>
          </cell>
          <cell r="AA38" t="str">
            <v/>
          </cell>
          <cell r="AB38" t="str">
            <v/>
          </cell>
          <cell r="AC38" t="str">
            <v/>
          </cell>
          <cell r="AD38" t="str">
            <v>2290239</v>
          </cell>
          <cell r="AE38" t="str">
            <v>Three Hills Brewing</v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>Gluten</v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>0</v>
          </cell>
          <cell r="AS38" t="str">
            <v/>
          </cell>
          <cell r="AT38" t="str">
            <v>0</v>
          </cell>
          <cell r="AU38" t="str">
            <v/>
          </cell>
          <cell r="AV38" t="str">
            <v>0</v>
          </cell>
          <cell r="AW38" t="str">
            <v/>
          </cell>
          <cell r="AX38" t="str">
            <v>0</v>
          </cell>
          <cell r="AY38" t="str">
            <v/>
          </cell>
          <cell r="AZ38" t="str">
            <v>0</v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>09</v>
          </cell>
          <cell r="BY38" t="str">
            <v>Metall</v>
          </cell>
          <cell r="BZ38" t="str">
            <v>X</v>
          </cell>
          <cell r="CA38">
            <v>0</v>
          </cell>
          <cell r="CB38" t="str">
            <v>1</v>
          </cell>
          <cell r="CC38" t="str">
            <v/>
          </cell>
          <cell r="CD38">
            <v>8</v>
          </cell>
        </row>
        <row r="39">
          <cell r="A39">
            <v>16796802</v>
          </cell>
          <cell r="B39" t="str">
            <v/>
          </cell>
          <cell r="C39" t="str">
            <v>Old Chimneys Brewery Good King Henry V</v>
          </cell>
          <cell r="D39" t="str">
            <v>Old Chimneys Good King Henry V</v>
          </cell>
          <cell r="E39" t="str">
            <v>Old Chimneys Good King Henry V</v>
          </cell>
          <cell r="F39">
            <v>45316</v>
          </cell>
          <cell r="G39" t="str">
            <v>31</v>
          </cell>
          <cell r="H39" t="str">
            <v>Spesialutvalg</v>
          </cell>
          <cell r="I39">
            <v>45267</v>
          </cell>
          <cell r="J39">
            <v>2958465</v>
          </cell>
          <cell r="K39"/>
          <cell r="L39" t="str">
            <v/>
          </cell>
          <cell r="M39" t="str">
            <v/>
          </cell>
          <cell r="N39" t="str">
            <v/>
          </cell>
          <cell r="O39"/>
          <cell r="P39" t="str">
            <v>Øl</v>
          </cell>
          <cell r="Q39" t="str">
            <v>Øl</v>
          </cell>
          <cell r="R39" t="str">
            <v>Porter &amp; stout</v>
          </cell>
          <cell r="S39" t="str">
            <v>50134</v>
          </cell>
          <cell r="T39" t="str">
            <v>85</v>
          </cell>
          <cell r="U39" t="str">
            <v>Øl, overgjæret</v>
          </cell>
          <cell r="V39" t="str">
            <v>X</v>
          </cell>
          <cell r="W39" t="str">
            <v>0</v>
          </cell>
          <cell r="X39" t="str">
            <v/>
          </cell>
          <cell r="Y39" t="str">
            <v>England</v>
          </cell>
          <cell r="Z39" t="str">
            <v>Øvrige</v>
          </cell>
          <cell r="AA39" t="str">
            <v/>
          </cell>
          <cell r="AB39" t="str">
            <v/>
          </cell>
          <cell r="AC39" t="str">
            <v/>
          </cell>
          <cell r="AD39" t="str">
            <v>2587174</v>
          </cell>
          <cell r="AE39" t="str">
            <v>Old Chimneys Brewery</v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>Gluten</v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>0</v>
          </cell>
          <cell r="AS39" t="str">
            <v/>
          </cell>
          <cell r="AT39" t="str">
            <v>0</v>
          </cell>
          <cell r="AU39" t="str">
            <v/>
          </cell>
          <cell r="AV39" t="str">
            <v>0</v>
          </cell>
          <cell r="AW39" t="str">
            <v/>
          </cell>
          <cell r="AX39" t="str">
            <v>0</v>
          </cell>
          <cell r="AY39" t="str">
            <v/>
          </cell>
          <cell r="AZ39" t="str">
            <v>0</v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>03</v>
          </cell>
          <cell r="BY39" t="str">
            <v>Glass</v>
          </cell>
          <cell r="BZ39" t="str">
            <v/>
          </cell>
          <cell r="CA39">
            <v>0</v>
          </cell>
          <cell r="CB39" t="str">
            <v>1</v>
          </cell>
          <cell r="CC39" t="str">
            <v/>
          </cell>
          <cell r="CD39">
            <v>9.8000000000000007</v>
          </cell>
        </row>
        <row r="40">
          <cell r="A40">
            <v>16796901</v>
          </cell>
          <cell r="B40" t="str">
            <v/>
          </cell>
          <cell r="C40" t="str">
            <v>Mills Underdone</v>
          </cell>
          <cell r="D40" t="str">
            <v>Mills Underdone</v>
          </cell>
          <cell r="E40" t="str">
            <v>Mills Underdone</v>
          </cell>
          <cell r="F40">
            <v>45316</v>
          </cell>
          <cell r="G40" t="str">
            <v>31</v>
          </cell>
          <cell r="H40" t="str">
            <v>Spesialutvalg</v>
          </cell>
          <cell r="I40">
            <v>45267</v>
          </cell>
          <cell r="J40">
            <v>2958465</v>
          </cell>
          <cell r="K40"/>
          <cell r="L40" t="str">
            <v/>
          </cell>
          <cell r="M40" t="str">
            <v/>
          </cell>
          <cell r="N40" t="str">
            <v/>
          </cell>
          <cell r="O40"/>
          <cell r="P40" t="str">
            <v>Øl</v>
          </cell>
          <cell r="Q40" t="str">
            <v>Øl</v>
          </cell>
          <cell r="R40" t="str">
            <v>Surøl</v>
          </cell>
          <cell r="S40" t="str">
            <v>50122</v>
          </cell>
          <cell r="T40" t="str">
            <v>141</v>
          </cell>
          <cell r="U40" t="str">
            <v>Øl, spontangjæret</v>
          </cell>
          <cell r="V40" t="str">
            <v>X</v>
          </cell>
          <cell r="W40" t="str">
            <v>0</v>
          </cell>
          <cell r="X40" t="str">
            <v/>
          </cell>
          <cell r="Y40" t="str">
            <v>England</v>
          </cell>
          <cell r="Z40" t="str">
            <v>Øvrige</v>
          </cell>
          <cell r="AA40" t="str">
            <v/>
          </cell>
          <cell r="AB40" t="str">
            <v/>
          </cell>
          <cell r="AC40" t="str">
            <v/>
          </cell>
          <cell r="AD40" t="str">
            <v>2336790</v>
          </cell>
          <cell r="AE40" t="str">
            <v>Mills Brewing</v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>Gluten</v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>0</v>
          </cell>
          <cell r="AS40" t="str">
            <v/>
          </cell>
          <cell r="AT40" t="str">
            <v>0</v>
          </cell>
          <cell r="AU40" t="str">
            <v/>
          </cell>
          <cell r="AV40" t="str">
            <v>0</v>
          </cell>
          <cell r="AW40" t="str">
            <v/>
          </cell>
          <cell r="AX40" t="str">
            <v>0</v>
          </cell>
          <cell r="AY40" t="str">
            <v/>
          </cell>
          <cell r="AZ40" t="str">
            <v>0</v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>03</v>
          </cell>
          <cell r="BY40" t="str">
            <v>Glass</v>
          </cell>
          <cell r="BZ40" t="str">
            <v/>
          </cell>
          <cell r="CA40">
            <v>0</v>
          </cell>
          <cell r="CB40" t="str">
            <v>1</v>
          </cell>
          <cell r="CC40" t="str">
            <v/>
          </cell>
          <cell r="CD40">
            <v>6.6</v>
          </cell>
        </row>
        <row r="41">
          <cell r="A41">
            <v>16797002</v>
          </cell>
          <cell r="B41" t="str">
            <v/>
          </cell>
          <cell r="C41" t="str">
            <v>Rivington x Siren Army Of Darkness</v>
          </cell>
          <cell r="D41" t="str">
            <v>Rivington x Siren Army Of Darkness</v>
          </cell>
          <cell r="E41" t="str">
            <v>Rivington x Siren Army Of Darkness</v>
          </cell>
          <cell r="F41">
            <v>45316</v>
          </cell>
          <cell r="G41" t="str">
            <v>31</v>
          </cell>
          <cell r="H41" t="str">
            <v>Spesialutvalg</v>
          </cell>
          <cell r="I41">
            <v>45267</v>
          </cell>
          <cell r="J41">
            <v>2958465</v>
          </cell>
          <cell r="K41"/>
          <cell r="L41" t="str">
            <v/>
          </cell>
          <cell r="M41" t="str">
            <v/>
          </cell>
          <cell r="N41" t="str">
            <v/>
          </cell>
          <cell r="O41"/>
          <cell r="P41" t="str">
            <v>Øl</v>
          </cell>
          <cell r="Q41" t="str">
            <v>Øl</v>
          </cell>
          <cell r="R41" t="str">
            <v>Porter &amp; stout</v>
          </cell>
          <cell r="S41" t="str">
            <v>50134</v>
          </cell>
          <cell r="T41" t="str">
            <v>85</v>
          </cell>
          <cell r="U41" t="str">
            <v>Øl, overgjæret</v>
          </cell>
          <cell r="V41" t="str">
            <v>X</v>
          </cell>
          <cell r="W41" t="str">
            <v>0</v>
          </cell>
          <cell r="X41" t="str">
            <v/>
          </cell>
          <cell r="Y41" t="str">
            <v>England</v>
          </cell>
          <cell r="Z41" t="str">
            <v>Øvrige</v>
          </cell>
          <cell r="AA41" t="str">
            <v/>
          </cell>
          <cell r="AB41" t="str">
            <v/>
          </cell>
          <cell r="AC41" t="str">
            <v/>
          </cell>
          <cell r="AD41" t="str">
            <v>2290221</v>
          </cell>
          <cell r="AE41" t="str">
            <v>Rivington Brewing Co</v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>Gluten</v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>0</v>
          </cell>
          <cell r="AS41" t="str">
            <v/>
          </cell>
          <cell r="AT41" t="str">
            <v>0</v>
          </cell>
          <cell r="AU41" t="str">
            <v/>
          </cell>
          <cell r="AV41" t="str">
            <v>0</v>
          </cell>
          <cell r="AW41" t="str">
            <v/>
          </cell>
          <cell r="AX41" t="str">
            <v>0</v>
          </cell>
          <cell r="AY41" t="str">
            <v/>
          </cell>
          <cell r="AZ41" t="str">
            <v>0</v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>09</v>
          </cell>
          <cell r="BY41" t="str">
            <v>Metall</v>
          </cell>
          <cell r="BZ41" t="str">
            <v>X</v>
          </cell>
          <cell r="CA41">
            <v>0</v>
          </cell>
          <cell r="CB41" t="str">
            <v>1</v>
          </cell>
          <cell r="CC41" t="str">
            <v/>
          </cell>
          <cell r="CD41">
            <v>10</v>
          </cell>
        </row>
        <row r="42">
          <cell r="A42">
            <v>16802001</v>
          </cell>
          <cell r="B42" t="str">
            <v/>
          </cell>
          <cell r="C42" t="str">
            <v>Beak The Red Leviathan</v>
          </cell>
          <cell r="D42" t="str">
            <v>Beak The Red Leviathan</v>
          </cell>
          <cell r="E42" t="str">
            <v>Beak The Red Leviathan</v>
          </cell>
          <cell r="F42">
            <v>45316</v>
          </cell>
          <cell r="G42" t="str">
            <v>31</v>
          </cell>
          <cell r="H42" t="str">
            <v>Spesialutvalg</v>
          </cell>
          <cell r="I42">
            <v>45271</v>
          </cell>
          <cell r="J42">
            <v>2958465</v>
          </cell>
          <cell r="K42"/>
          <cell r="L42" t="str">
            <v/>
          </cell>
          <cell r="M42" t="str">
            <v/>
          </cell>
          <cell r="N42" t="str">
            <v/>
          </cell>
          <cell r="O42"/>
          <cell r="P42" t="str">
            <v>Øl</v>
          </cell>
          <cell r="Q42" t="str">
            <v>Øl</v>
          </cell>
          <cell r="R42" t="str">
            <v>Surøl</v>
          </cell>
          <cell r="S42" t="str">
            <v>50122</v>
          </cell>
          <cell r="T42" t="str">
            <v>141</v>
          </cell>
          <cell r="U42" t="str">
            <v>Øl, spontangjæret</v>
          </cell>
          <cell r="V42" t="str">
            <v>X</v>
          </cell>
          <cell r="W42" t="str">
            <v>0</v>
          </cell>
          <cell r="X42" t="str">
            <v/>
          </cell>
          <cell r="Y42" t="str">
            <v>England</v>
          </cell>
          <cell r="Z42" t="str">
            <v>Øvrige</v>
          </cell>
          <cell r="AA42" t="str">
            <v/>
          </cell>
          <cell r="AB42" t="str">
            <v/>
          </cell>
          <cell r="AC42" t="str">
            <v/>
          </cell>
          <cell r="AD42" t="str">
            <v>2327164</v>
          </cell>
          <cell r="AE42" t="str">
            <v>Beak Brewery</v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>Gluten</v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>0</v>
          </cell>
          <cell r="AS42" t="str">
            <v/>
          </cell>
          <cell r="AT42" t="str">
            <v>0</v>
          </cell>
          <cell r="AU42" t="str">
            <v/>
          </cell>
          <cell r="AV42" t="str">
            <v>0</v>
          </cell>
          <cell r="AW42" t="str">
            <v/>
          </cell>
          <cell r="AX42" t="str">
            <v>0</v>
          </cell>
          <cell r="AY42" t="str">
            <v/>
          </cell>
          <cell r="AZ42" t="str">
            <v>0</v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>03</v>
          </cell>
          <cell r="BY42" t="str">
            <v>Glass</v>
          </cell>
          <cell r="BZ42" t="str">
            <v/>
          </cell>
          <cell r="CA42">
            <v>0</v>
          </cell>
          <cell r="CB42" t="str">
            <v>1</v>
          </cell>
          <cell r="CC42" t="str">
            <v/>
          </cell>
          <cell r="CD42">
            <v>6.5</v>
          </cell>
        </row>
        <row r="43">
          <cell r="A43">
            <v>16802101</v>
          </cell>
          <cell r="B43" t="str">
            <v/>
          </cell>
          <cell r="C43" t="str">
            <v>The Bruery Chocolate Rain Imperial Stout</v>
          </cell>
          <cell r="D43" t="str">
            <v>The Bruery Chocolate Rain Imperial Stout</v>
          </cell>
          <cell r="E43" t="str">
            <v>The Bruery Chocolate Rain Imperial Stout</v>
          </cell>
          <cell r="F43">
            <v>45316</v>
          </cell>
          <cell r="G43" t="str">
            <v>31</v>
          </cell>
          <cell r="H43" t="str">
            <v>Spesialutvalg</v>
          </cell>
          <cell r="I43">
            <v>45271</v>
          </cell>
          <cell r="J43">
            <v>2958465</v>
          </cell>
          <cell r="K43"/>
          <cell r="L43" t="str">
            <v/>
          </cell>
          <cell r="M43" t="str">
            <v/>
          </cell>
          <cell r="N43" t="str">
            <v/>
          </cell>
          <cell r="O43"/>
          <cell r="P43" t="str">
            <v>Øl</v>
          </cell>
          <cell r="Q43" t="str">
            <v>Øl</v>
          </cell>
          <cell r="R43" t="str">
            <v>Porter &amp; stout</v>
          </cell>
          <cell r="S43" t="str">
            <v>50134</v>
          </cell>
          <cell r="T43" t="str">
            <v>85</v>
          </cell>
          <cell r="U43" t="str">
            <v>Øl, overgjæret</v>
          </cell>
          <cell r="V43" t="str">
            <v>X</v>
          </cell>
          <cell r="W43" t="str">
            <v>2018</v>
          </cell>
          <cell r="X43" t="str">
            <v>X</v>
          </cell>
          <cell r="Y43" t="str">
            <v>USA</v>
          </cell>
          <cell r="Z43" t="str">
            <v>California</v>
          </cell>
          <cell r="AA43" t="str">
            <v>Øvrige</v>
          </cell>
          <cell r="AB43" t="str">
            <v>AO</v>
          </cell>
          <cell r="AC43" t="str">
            <v/>
          </cell>
          <cell r="AD43" t="str">
            <v>68830</v>
          </cell>
          <cell r="AE43" t="str">
            <v>The Bruery</v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>Gluten</v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>0</v>
          </cell>
          <cell r="AS43" t="str">
            <v/>
          </cell>
          <cell r="AT43" t="str">
            <v>0</v>
          </cell>
          <cell r="AU43" t="str">
            <v/>
          </cell>
          <cell r="AV43" t="str">
            <v>0</v>
          </cell>
          <cell r="AW43" t="str">
            <v/>
          </cell>
          <cell r="AX43" t="str">
            <v>0</v>
          </cell>
          <cell r="AY43" t="str">
            <v/>
          </cell>
          <cell r="AZ43" t="str">
            <v>0</v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>03</v>
          </cell>
          <cell r="BY43" t="str">
            <v>Glass</v>
          </cell>
          <cell r="BZ43" t="str">
            <v/>
          </cell>
          <cell r="CA43">
            <v>0</v>
          </cell>
          <cell r="CB43" t="str">
            <v>1</v>
          </cell>
          <cell r="CC43" t="str">
            <v/>
          </cell>
          <cell r="CD43">
            <v>19.5</v>
          </cell>
        </row>
        <row r="44">
          <cell r="A44">
            <v>16802201</v>
          </cell>
          <cell r="B44" t="str">
            <v/>
          </cell>
          <cell r="C44" t="str">
            <v>Cantillon Fou'foune</v>
          </cell>
          <cell r="D44" t="str">
            <v>Cantillon Fou'foune</v>
          </cell>
          <cell r="E44" t="str">
            <v>Cantillon Fou'foune</v>
          </cell>
          <cell r="F44">
            <v>45323</v>
          </cell>
          <cell r="G44" t="str">
            <v>31</v>
          </cell>
          <cell r="H44" t="str">
            <v>Spesialutvalg</v>
          </cell>
          <cell r="I44">
            <v>45271</v>
          </cell>
          <cell r="J44">
            <v>2958465</v>
          </cell>
          <cell r="K44"/>
          <cell r="L44" t="str">
            <v/>
          </cell>
          <cell r="M44" t="str">
            <v/>
          </cell>
          <cell r="N44" t="str">
            <v/>
          </cell>
          <cell r="O44"/>
          <cell r="P44" t="str">
            <v>Øl</v>
          </cell>
          <cell r="Q44" t="str">
            <v>Øl</v>
          </cell>
          <cell r="R44" t="str">
            <v>Surøl</v>
          </cell>
          <cell r="S44" t="str">
            <v>50122</v>
          </cell>
          <cell r="T44" t="str">
            <v>141</v>
          </cell>
          <cell r="U44" t="str">
            <v>Øl, spontangjæret</v>
          </cell>
          <cell r="V44" t="str">
            <v>X</v>
          </cell>
          <cell r="W44" t="str">
            <v>0</v>
          </cell>
          <cell r="X44" t="str">
            <v/>
          </cell>
          <cell r="Y44" t="str">
            <v>Belgia</v>
          </cell>
          <cell r="Z44" t="str">
            <v>Øvrige</v>
          </cell>
          <cell r="AA44" t="str">
            <v/>
          </cell>
          <cell r="AB44" t="str">
            <v/>
          </cell>
          <cell r="AC44" t="str">
            <v/>
          </cell>
          <cell r="AD44" t="str">
            <v>62237</v>
          </cell>
          <cell r="AE44" t="str">
            <v>Brasserie Cantillon Brouwerij</v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>Gluten</v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>0</v>
          </cell>
          <cell r="AS44" t="str">
            <v/>
          </cell>
          <cell r="AT44" t="str">
            <v>0</v>
          </cell>
          <cell r="AU44" t="str">
            <v/>
          </cell>
          <cell r="AV44" t="str">
            <v>0</v>
          </cell>
          <cell r="AW44" t="str">
            <v/>
          </cell>
          <cell r="AX44" t="str">
            <v>0</v>
          </cell>
          <cell r="AY44" t="str">
            <v/>
          </cell>
          <cell r="AZ44" t="str">
            <v>0</v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>Y</v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>03</v>
          </cell>
          <cell r="BY44" t="str">
            <v>Glass</v>
          </cell>
          <cell r="BZ44" t="str">
            <v/>
          </cell>
          <cell r="CA44">
            <v>0</v>
          </cell>
          <cell r="CB44" t="str">
            <v>1</v>
          </cell>
          <cell r="CC44" t="str">
            <v/>
          </cell>
          <cell r="CD44">
            <v>6</v>
          </cell>
        </row>
        <row r="45">
          <cell r="A45">
            <v>16802301</v>
          </cell>
          <cell r="B45" t="str">
            <v/>
          </cell>
          <cell r="C45" t="str">
            <v>Cantillon Iris</v>
          </cell>
          <cell r="D45" t="str">
            <v>Cantillon Iris</v>
          </cell>
          <cell r="E45" t="str">
            <v>Cantillon Iris</v>
          </cell>
          <cell r="F45">
            <v>45323</v>
          </cell>
          <cell r="G45" t="str">
            <v>31</v>
          </cell>
          <cell r="H45" t="str">
            <v>Spesialutvalg</v>
          </cell>
          <cell r="I45">
            <v>45271</v>
          </cell>
          <cell r="J45">
            <v>2958465</v>
          </cell>
          <cell r="K45"/>
          <cell r="L45" t="str">
            <v/>
          </cell>
          <cell r="M45" t="str">
            <v/>
          </cell>
          <cell r="N45" t="str">
            <v/>
          </cell>
          <cell r="O45"/>
          <cell r="P45" t="str">
            <v>Øl</v>
          </cell>
          <cell r="Q45" t="str">
            <v>Øl</v>
          </cell>
          <cell r="R45" t="str">
            <v>Surøl</v>
          </cell>
          <cell r="S45" t="str">
            <v>50122</v>
          </cell>
          <cell r="T45" t="str">
            <v>85</v>
          </cell>
          <cell r="U45" t="str">
            <v>Øl, overgjæret</v>
          </cell>
          <cell r="V45" t="str">
            <v>X</v>
          </cell>
          <cell r="W45" t="str">
            <v>0</v>
          </cell>
          <cell r="X45" t="str">
            <v/>
          </cell>
          <cell r="Y45" t="str">
            <v>Belgia</v>
          </cell>
          <cell r="Z45" t="str">
            <v>Øvrige</v>
          </cell>
          <cell r="AA45" t="str">
            <v/>
          </cell>
          <cell r="AB45" t="str">
            <v/>
          </cell>
          <cell r="AC45" t="str">
            <v/>
          </cell>
          <cell r="AD45" t="str">
            <v>62237</v>
          </cell>
          <cell r="AE45" t="str">
            <v>Brasserie Cantillon Brouwerij</v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>Gluten</v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>0</v>
          </cell>
          <cell r="AS45" t="str">
            <v/>
          </cell>
          <cell r="AT45" t="str">
            <v>0</v>
          </cell>
          <cell r="AU45" t="str">
            <v/>
          </cell>
          <cell r="AV45" t="str">
            <v>0</v>
          </cell>
          <cell r="AW45" t="str">
            <v/>
          </cell>
          <cell r="AX45" t="str">
            <v>0</v>
          </cell>
          <cell r="AY45" t="str">
            <v/>
          </cell>
          <cell r="AZ45" t="str">
            <v>0</v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>Y</v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>03</v>
          </cell>
          <cell r="BY45" t="str">
            <v>Glass</v>
          </cell>
          <cell r="BZ45" t="str">
            <v/>
          </cell>
          <cell r="CA45">
            <v>0</v>
          </cell>
          <cell r="CB45" t="str">
            <v>1</v>
          </cell>
          <cell r="CC45" t="str">
            <v/>
          </cell>
          <cell r="CD45">
            <v>6.5</v>
          </cell>
        </row>
        <row r="46">
          <cell r="A46">
            <v>16802402</v>
          </cell>
          <cell r="B46" t="str">
            <v/>
          </cell>
          <cell r="C46" t="str">
            <v>Cantillon Gueuze-Lambic BIO</v>
          </cell>
          <cell r="D46" t="str">
            <v>Cantillon Gueuze-Lambic BIO</v>
          </cell>
          <cell r="E46" t="str">
            <v>Cantillon Gueuze-Lambic BIO</v>
          </cell>
          <cell r="F46">
            <v>45323</v>
          </cell>
          <cell r="G46" t="str">
            <v>31</v>
          </cell>
          <cell r="H46" t="str">
            <v>Spesialutvalg</v>
          </cell>
          <cell r="I46">
            <v>45271</v>
          </cell>
          <cell r="J46">
            <v>2958465</v>
          </cell>
          <cell r="K46"/>
          <cell r="L46" t="str">
            <v/>
          </cell>
          <cell r="M46" t="str">
            <v/>
          </cell>
          <cell r="N46" t="str">
            <v/>
          </cell>
          <cell r="O46"/>
          <cell r="P46" t="str">
            <v>Øl</v>
          </cell>
          <cell r="Q46" t="str">
            <v>Øl</v>
          </cell>
          <cell r="R46" t="str">
            <v>Surøl</v>
          </cell>
          <cell r="S46" t="str">
            <v>50122</v>
          </cell>
          <cell r="T46" t="str">
            <v>85</v>
          </cell>
          <cell r="U46" t="str">
            <v>Øl, overgjæret</v>
          </cell>
          <cell r="V46" t="str">
            <v>X</v>
          </cell>
          <cell r="W46" t="str">
            <v>0</v>
          </cell>
          <cell r="X46" t="str">
            <v/>
          </cell>
          <cell r="Y46" t="str">
            <v>Belgia</v>
          </cell>
          <cell r="Z46" t="str">
            <v>Øvrige</v>
          </cell>
          <cell r="AA46" t="str">
            <v/>
          </cell>
          <cell r="AB46" t="str">
            <v/>
          </cell>
          <cell r="AC46" t="str">
            <v/>
          </cell>
          <cell r="AD46" t="str">
            <v>62237</v>
          </cell>
          <cell r="AE46" t="str">
            <v>Brasserie Cantillon Brouwerij</v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>Gluten</v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>0</v>
          </cell>
          <cell r="AS46" t="str">
            <v/>
          </cell>
          <cell r="AT46" t="str">
            <v>0</v>
          </cell>
          <cell r="AU46" t="str">
            <v/>
          </cell>
          <cell r="AV46" t="str">
            <v>0</v>
          </cell>
          <cell r="AW46" t="str">
            <v/>
          </cell>
          <cell r="AX46" t="str">
            <v>0</v>
          </cell>
          <cell r="AY46" t="str">
            <v/>
          </cell>
          <cell r="AZ46" t="str">
            <v>0</v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>Y</v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>03</v>
          </cell>
          <cell r="BY46" t="str">
            <v>Glass</v>
          </cell>
          <cell r="BZ46" t="str">
            <v/>
          </cell>
          <cell r="CA46">
            <v>0</v>
          </cell>
          <cell r="CB46" t="str">
            <v>1</v>
          </cell>
          <cell r="CC46" t="str">
            <v/>
          </cell>
          <cell r="CD46">
            <v>5.5</v>
          </cell>
        </row>
        <row r="47">
          <cell r="A47">
            <v>16802602</v>
          </cell>
          <cell r="B47" t="str">
            <v/>
          </cell>
          <cell r="C47" t="str">
            <v>Ølsmia Batikk</v>
          </cell>
          <cell r="D47" t="str">
            <v>Ølsmia Batikk</v>
          </cell>
          <cell r="E47" t="str">
            <v>Ølsmia Batikk</v>
          </cell>
          <cell r="F47">
            <v>45316</v>
          </cell>
          <cell r="G47" t="str">
            <v>31</v>
          </cell>
          <cell r="H47" t="str">
            <v>Spesialutvalg</v>
          </cell>
          <cell r="I47">
            <v>45271</v>
          </cell>
          <cell r="J47">
            <v>2958465</v>
          </cell>
          <cell r="K47"/>
          <cell r="L47" t="str">
            <v/>
          </cell>
          <cell r="M47" t="str">
            <v/>
          </cell>
          <cell r="N47" t="str">
            <v/>
          </cell>
          <cell r="O47"/>
          <cell r="P47" t="str">
            <v>Øl</v>
          </cell>
          <cell r="Q47" t="str">
            <v>Øl</v>
          </cell>
          <cell r="R47" t="str">
            <v>Surøl</v>
          </cell>
          <cell r="S47" t="str">
            <v>50122</v>
          </cell>
          <cell r="T47" t="str">
            <v>85</v>
          </cell>
          <cell r="U47" t="str">
            <v>Øl, overgjæret</v>
          </cell>
          <cell r="V47" t="str">
            <v>X</v>
          </cell>
          <cell r="W47" t="str">
            <v>0</v>
          </cell>
          <cell r="X47" t="str">
            <v/>
          </cell>
          <cell r="Y47" t="str">
            <v>Norge</v>
          </cell>
          <cell r="Z47" t="str">
            <v>Oslo</v>
          </cell>
          <cell r="AA47" t="str">
            <v/>
          </cell>
          <cell r="AB47" t="str">
            <v/>
          </cell>
          <cell r="AC47" t="str">
            <v/>
          </cell>
          <cell r="AD47" t="str">
            <v>2589956</v>
          </cell>
          <cell r="AE47" t="str">
            <v>Ølsmia</v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>Gluten</v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>0</v>
          </cell>
          <cell r="AS47" t="str">
            <v/>
          </cell>
          <cell r="AT47" t="str">
            <v>0</v>
          </cell>
          <cell r="AU47" t="str">
            <v/>
          </cell>
          <cell r="AV47" t="str">
            <v>0</v>
          </cell>
          <cell r="AW47" t="str">
            <v/>
          </cell>
          <cell r="AX47" t="str">
            <v>0</v>
          </cell>
          <cell r="AY47" t="str">
            <v/>
          </cell>
          <cell r="AZ47" t="str">
            <v>0</v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>09</v>
          </cell>
          <cell r="BY47" t="str">
            <v>Metall</v>
          </cell>
          <cell r="BZ47" t="str">
            <v>X</v>
          </cell>
          <cell r="CA47">
            <v>0</v>
          </cell>
          <cell r="CB47" t="str">
            <v>1</v>
          </cell>
          <cell r="CC47" t="str">
            <v/>
          </cell>
          <cell r="CD47">
            <v>6.6</v>
          </cell>
        </row>
        <row r="48">
          <cell r="A48">
            <v>16802702</v>
          </cell>
          <cell r="B48" t="str">
            <v/>
          </cell>
          <cell r="C48" t="str">
            <v>Ølsmia Beist</v>
          </cell>
          <cell r="D48" t="str">
            <v>Ølsmia Beist</v>
          </cell>
          <cell r="E48" t="str">
            <v>Ølsmia Beist</v>
          </cell>
          <cell r="F48">
            <v>45316</v>
          </cell>
          <cell r="G48" t="str">
            <v>31</v>
          </cell>
          <cell r="H48" t="str">
            <v>Spesialutvalg</v>
          </cell>
          <cell r="I48">
            <v>45271</v>
          </cell>
          <cell r="J48">
            <v>2958465</v>
          </cell>
          <cell r="K48"/>
          <cell r="L48" t="str">
            <v/>
          </cell>
          <cell r="M48" t="str">
            <v/>
          </cell>
          <cell r="N48" t="str">
            <v/>
          </cell>
          <cell r="O48"/>
          <cell r="P48" t="str">
            <v>Øl</v>
          </cell>
          <cell r="Q48" t="str">
            <v>Øl</v>
          </cell>
          <cell r="R48" t="str">
            <v>Porter &amp; stout</v>
          </cell>
          <cell r="S48" t="str">
            <v>50134</v>
          </cell>
          <cell r="T48" t="str">
            <v>86</v>
          </cell>
          <cell r="U48" t="str">
            <v>Øl, undergjæret</v>
          </cell>
          <cell r="V48" t="str">
            <v>X</v>
          </cell>
          <cell r="W48" t="str">
            <v>0</v>
          </cell>
          <cell r="X48" t="str">
            <v/>
          </cell>
          <cell r="Y48" t="str">
            <v>Norge</v>
          </cell>
          <cell r="Z48" t="str">
            <v>Oslo</v>
          </cell>
          <cell r="AA48" t="str">
            <v/>
          </cell>
          <cell r="AB48" t="str">
            <v/>
          </cell>
          <cell r="AC48" t="str">
            <v/>
          </cell>
          <cell r="AD48" t="str">
            <v>2589956</v>
          </cell>
          <cell r="AE48" t="str">
            <v>Ølsmia</v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>Gluten</v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>0</v>
          </cell>
          <cell r="AS48" t="str">
            <v/>
          </cell>
          <cell r="AT48" t="str">
            <v>0</v>
          </cell>
          <cell r="AU48" t="str">
            <v/>
          </cell>
          <cell r="AV48" t="str">
            <v>0</v>
          </cell>
          <cell r="AW48" t="str">
            <v/>
          </cell>
          <cell r="AX48" t="str">
            <v>0</v>
          </cell>
          <cell r="AY48" t="str">
            <v/>
          </cell>
          <cell r="AZ48" t="str">
            <v>0</v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>09</v>
          </cell>
          <cell r="BY48" t="str">
            <v>Metall</v>
          </cell>
          <cell r="BZ48" t="str">
            <v>X</v>
          </cell>
          <cell r="CA48">
            <v>0</v>
          </cell>
          <cell r="CB48" t="str">
            <v>1</v>
          </cell>
          <cell r="CC48" t="str">
            <v/>
          </cell>
          <cell r="CD48">
            <v>12.6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Z49" totalsRowShown="0" headerRowDxfId="18">
  <autoFilter ref="A1:Z49" xr:uid="{5EC5BE34-4F1B-4E82-B657-ADB55FEE0607}"/>
  <tableColumns count="26">
    <tableColumn id="2" xr3:uid="{D5091B66-AA1C-45BA-9B3D-E6BB7E52B87B}" name="Artikkelnr." dataDxfId="17"/>
    <tableColumn id="3" xr3:uid="{E8164D1C-6DB3-4F7C-BDA1-7BE7E6529A86}" name="Produsent"/>
    <tableColumn id="1" xr3:uid="{848F276D-DA6A-456B-A4BC-971AA16DDEC0}" name="Kommentar"/>
    <tableColumn id="4" xr3:uid="{0D76A701-51C0-45E4-B60C-E414BA370B56}" name="Produktnavn"/>
    <tableColumn id="5" xr3:uid="{93EA9BDC-D85E-40C4-97CA-869B1CA4E50B}" name="Årgang"/>
    <tableColumn id="6" xr3:uid="{53E8C293-5487-4733-9510-FBBCD6760939}" name="Land"/>
    <tableColumn id="7" xr3:uid="{2CC834D3-06FE-4ECA-B076-0D63637FA7E4}" name="Varetype"/>
    <tableColumn id="8" xr3:uid="{88CFDA2D-223A-405E-9416-35BD08298E6E}" name="Volum" dataDxfId="16"/>
    <tableColumn id="9" xr3:uid="{9EE8A2E5-ACDD-44B3-9FE6-95765FB629F8}" name="Alkohol" dataDxfId="15">
      <calculatedColumnFormula>VLOOKUP(Tabell22[[#This Row],[Artikkelnr.]],[1]Sheet1!$A:$CD,82,0)</calculatedColumnFormula>
    </tableColumn>
    <tableColumn id="10" xr3:uid="{FD9BD7B7-0B37-4ECA-99D2-20EB800FA860}" name="Salgspris" dataDxfId="14"/>
    <tableColumn id="11" xr3:uid="{70EADD8D-7835-4C6D-8D46-828AB1A833FA}" name="Totalt antall" dataDxfId="0">
      <calculatedColumnFormula>SUM(L2:Z2)</calculatedColumnFormula>
    </tableColumn>
    <tableColumn id="14" xr3:uid="{975AB2B1-81F9-48C0-9967-1E4ABD08D698}" name="Fordeling Oslo City (143)"/>
    <tableColumn id="15" xr3:uid="{57865C8C-38C1-4220-97E6-46EE2A3237E6}" name="Fordeling Storo (161)" dataDxfId="13"/>
    <tableColumn id="16" xr3:uid="{A4F7CBE1-10A4-4D5D-A69E-D1773441D29D}" name="Fordeling Aker Brygge (114)"/>
    <tableColumn id="17" xr3:uid="{93BCF11B-5314-44B2-B98B-DB5AB4839B44}" name="Fordeling Asker (202)" dataDxfId="12"/>
    <tableColumn id="18" xr3:uid="{AFECC12F-9566-4FD1-BA60-11D26F9277A9}" name="Fordeling Lillehammer (263)" dataDxfId="11"/>
    <tableColumn id="19" xr3:uid="{E2E801B8-F35C-4F0E-8169-2A924C518DEE}" name="Fordeling Drammen (468)" dataDxfId="10"/>
    <tableColumn id="20" xr3:uid="{F4D816D6-DB48-4985-BC2C-AD79F5AF1BEE}" name="Fordeling Bergen Storsenter (121)" dataDxfId="9"/>
    <tableColumn id="21" xr3:uid="{CAA7599B-131A-486F-BDB6-B166DCE2540F}" name="Fordeling Sandnes Kvadrat (116)" dataDxfId="8"/>
    <tableColumn id="22" xr3:uid="{D9386BB7-E1C1-4A7D-9805-1614F77C41BB}" name="Fordeling Trondheim Torg (160)" dataDxfId="7"/>
    <tableColumn id="23" xr3:uid="{8950051D-1572-41FC-B158-2C2D6AF0408A}" name="Fordeling Ålesund Moa (174)" dataDxfId="6"/>
    <tableColumn id="24" xr3:uid="{27415F79-ACA0-4C92-94AF-3E128C127003}" name="Fordeling Tromsø Langnes (282)" dataDxfId="5"/>
    <tableColumn id="25" xr3:uid="{4282CB9E-83AE-42DC-AABD-212E4B10891C}" name="Fordeling Molde (244)" dataDxfId="4"/>
    <tableColumn id="26" xr3:uid="{5EFD2D8E-189A-417F-BEC5-27244EFD5895}" name="Fordeling Kristiansand Lillemarkens (254)" dataDxfId="3"/>
    <tableColumn id="27" xr3:uid="{1AD1BA32-7DAA-4EC9-B3C7-1C8572418D39}" name="Fordeling Bodø City Nord (339)" dataDxfId="2"/>
    <tableColumn id="28" xr3:uid="{3EBF375D-26AB-4C50-AF55-5E3A6F695BC5}" name="Fordeling Nettbutikk (801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dimension ref="A1:Z55"/>
  <sheetViews>
    <sheetView tabSelected="1" topLeftCell="D1" workbookViewId="0">
      <selection activeCell="AA1" sqref="AA1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15" customWidth="1"/>
    <col min="6" max="6" width="13.42578125" bestFit="1" customWidth="1"/>
    <col min="11" max="11" width="16.140625" customWidth="1"/>
    <col min="12" max="17" width="9.7109375" customWidth="1"/>
    <col min="19" max="24" width="9.7109375" customWidth="1"/>
  </cols>
  <sheetData>
    <row r="1" spans="1:26" ht="75" x14ac:dyDescent="0.25">
      <c r="A1" s="4" t="s">
        <v>0</v>
      </c>
      <c r="B1" s="3" t="s">
        <v>1</v>
      </c>
      <c r="C1" s="3" t="s">
        <v>120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21</v>
      </c>
      <c r="M1" s="3" t="s">
        <v>12</v>
      </c>
      <c r="N1" s="3" t="s">
        <v>10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11</v>
      </c>
      <c r="T1" s="3" t="s">
        <v>26</v>
      </c>
      <c r="U1" s="3" t="s">
        <v>27</v>
      </c>
      <c r="V1" s="3" t="s">
        <v>13</v>
      </c>
      <c r="W1" s="3" t="s">
        <v>28</v>
      </c>
      <c r="X1" s="3" t="s">
        <v>29</v>
      </c>
      <c r="Y1" s="3" t="s">
        <v>30</v>
      </c>
      <c r="Z1" s="3" t="s">
        <v>31</v>
      </c>
    </row>
    <row r="2" spans="1:26" ht="24.95" customHeight="1" x14ac:dyDescent="0.25">
      <c r="A2" s="5">
        <v>16731701</v>
      </c>
      <c r="B2" t="s">
        <v>32</v>
      </c>
      <c r="D2" t="s">
        <v>33</v>
      </c>
      <c r="F2" t="s">
        <v>14</v>
      </c>
      <c r="G2" t="s">
        <v>114</v>
      </c>
      <c r="H2" s="6">
        <v>0.75</v>
      </c>
      <c r="I2">
        <f>VLOOKUP(Tabell22[[#This Row],[Artikkelnr.]],[1]Sheet1!$A:$CD,82,0)</f>
        <v>10</v>
      </c>
      <c r="J2" s="1">
        <v>299.7</v>
      </c>
      <c r="K2">
        <f t="shared" ref="K2:K49" si="0">SUM(L2:Z2)</f>
        <v>594</v>
      </c>
      <c r="L2">
        <v>42</v>
      </c>
      <c r="M2">
        <v>48</v>
      </c>
      <c r="N2">
        <v>48</v>
      </c>
      <c r="O2">
        <v>30</v>
      </c>
      <c r="P2">
        <v>30</v>
      </c>
      <c r="Q2">
        <v>30</v>
      </c>
      <c r="R2">
        <v>72</v>
      </c>
      <c r="S2">
        <v>60</v>
      </c>
      <c r="T2">
        <v>48</v>
      </c>
      <c r="U2">
        <v>36</v>
      </c>
      <c r="V2">
        <v>48</v>
      </c>
      <c r="W2">
        <v>36</v>
      </c>
      <c r="X2">
        <v>30</v>
      </c>
      <c r="Y2">
        <v>36</v>
      </c>
      <c r="Z2">
        <v>0</v>
      </c>
    </row>
    <row r="3" spans="1:26" ht="24.95" customHeight="1" x14ac:dyDescent="0.25">
      <c r="A3" s="5">
        <v>16730501</v>
      </c>
      <c r="B3" t="s">
        <v>34</v>
      </c>
      <c r="D3" t="s">
        <v>35</v>
      </c>
      <c r="F3" t="s">
        <v>15</v>
      </c>
      <c r="G3" t="s">
        <v>114</v>
      </c>
      <c r="H3" s="6">
        <v>0.75</v>
      </c>
      <c r="I3">
        <f>VLOOKUP(Tabell22[[#This Row],[Artikkelnr.]],[1]Sheet1!$A:$CD,82,0)</f>
        <v>8.5</v>
      </c>
      <c r="J3" s="1">
        <v>301.89999999999998</v>
      </c>
      <c r="K3">
        <f t="shared" si="0"/>
        <v>355</v>
      </c>
      <c r="L3">
        <v>25</v>
      </c>
      <c r="M3">
        <v>24</v>
      </c>
      <c r="N3">
        <v>24</v>
      </c>
      <c r="O3">
        <v>24</v>
      </c>
      <c r="P3">
        <v>24</v>
      </c>
      <c r="Q3">
        <v>24</v>
      </c>
      <c r="R3">
        <v>30</v>
      </c>
      <c r="S3">
        <v>30</v>
      </c>
      <c r="T3">
        <v>24</v>
      </c>
      <c r="U3">
        <v>24</v>
      </c>
      <c r="V3">
        <v>30</v>
      </c>
      <c r="W3">
        <v>24</v>
      </c>
      <c r="X3">
        <v>24</v>
      </c>
      <c r="Y3">
        <v>24</v>
      </c>
      <c r="Z3">
        <v>0</v>
      </c>
    </row>
    <row r="4" spans="1:26" ht="24.95" customHeight="1" x14ac:dyDescent="0.25">
      <c r="A4" s="5">
        <v>16730302</v>
      </c>
      <c r="B4" t="s">
        <v>36</v>
      </c>
      <c r="D4" t="s">
        <v>37</v>
      </c>
      <c r="E4" t="s">
        <v>38</v>
      </c>
      <c r="F4" t="s">
        <v>19</v>
      </c>
      <c r="G4" t="s">
        <v>114</v>
      </c>
      <c r="H4" s="6">
        <v>0.35499999999999998</v>
      </c>
      <c r="I4">
        <f>VLOOKUP(Tabell22[[#This Row],[Artikkelnr.]],[1]Sheet1!$A:$CD,82,0)</f>
        <v>13</v>
      </c>
      <c r="J4" s="1">
        <v>226.9</v>
      </c>
      <c r="K4">
        <f t="shared" si="0"/>
        <v>235</v>
      </c>
      <c r="L4">
        <v>19</v>
      </c>
      <c r="M4">
        <v>12</v>
      </c>
      <c r="N4">
        <v>12</v>
      </c>
      <c r="O4">
        <v>12</v>
      </c>
      <c r="P4">
        <v>12</v>
      </c>
      <c r="Q4">
        <v>12</v>
      </c>
      <c r="R4">
        <v>24</v>
      </c>
      <c r="S4">
        <v>36</v>
      </c>
      <c r="T4">
        <v>24</v>
      </c>
      <c r="U4">
        <v>12</v>
      </c>
      <c r="V4">
        <v>24</v>
      </c>
      <c r="W4">
        <v>12</v>
      </c>
      <c r="X4">
        <v>12</v>
      </c>
      <c r="Y4">
        <v>12</v>
      </c>
      <c r="Z4">
        <v>0</v>
      </c>
    </row>
    <row r="5" spans="1:26" ht="24.95" customHeight="1" x14ac:dyDescent="0.25">
      <c r="A5" s="5">
        <v>16730202</v>
      </c>
      <c r="B5" t="s">
        <v>39</v>
      </c>
      <c r="D5" t="s">
        <v>40</v>
      </c>
      <c r="F5" t="s">
        <v>41</v>
      </c>
      <c r="G5" t="s">
        <v>114</v>
      </c>
      <c r="H5" s="6">
        <v>0.5</v>
      </c>
      <c r="I5">
        <f>VLOOKUP(Tabell22[[#This Row],[Artikkelnr.]],[1]Sheet1!$A:$CD,82,0)</f>
        <v>6.2</v>
      </c>
      <c r="J5" s="1">
        <v>195.9</v>
      </c>
      <c r="K5">
        <f t="shared" si="0"/>
        <v>283</v>
      </c>
      <c r="L5">
        <v>22</v>
      </c>
      <c r="M5">
        <v>18</v>
      </c>
      <c r="N5">
        <v>18</v>
      </c>
      <c r="O5">
        <v>18</v>
      </c>
      <c r="P5">
        <v>18</v>
      </c>
      <c r="Q5">
        <v>18</v>
      </c>
      <c r="R5">
        <v>27</v>
      </c>
      <c r="S5">
        <v>27</v>
      </c>
      <c r="T5">
        <v>18</v>
      </c>
      <c r="U5">
        <v>18</v>
      </c>
      <c r="V5">
        <v>27</v>
      </c>
      <c r="W5">
        <v>18</v>
      </c>
      <c r="X5">
        <v>18</v>
      </c>
      <c r="Y5">
        <v>18</v>
      </c>
      <c r="Z5">
        <v>0</v>
      </c>
    </row>
    <row r="6" spans="1:26" ht="24.95" customHeight="1" x14ac:dyDescent="0.25">
      <c r="A6" s="5">
        <v>16730402</v>
      </c>
      <c r="B6" t="s">
        <v>39</v>
      </c>
      <c r="D6" t="s">
        <v>42</v>
      </c>
      <c r="F6" t="s">
        <v>41</v>
      </c>
      <c r="G6" t="s">
        <v>114</v>
      </c>
      <c r="H6" s="6">
        <v>0.5</v>
      </c>
      <c r="I6">
        <f>VLOOKUP(Tabell22[[#This Row],[Artikkelnr.]],[1]Sheet1!$A:$CD,82,0)</f>
        <v>6.2</v>
      </c>
      <c r="J6" s="1">
        <v>195.9</v>
      </c>
      <c r="K6">
        <f t="shared" si="0"/>
        <v>282</v>
      </c>
      <c r="L6">
        <v>21</v>
      </c>
      <c r="M6">
        <v>18</v>
      </c>
      <c r="N6">
        <v>18</v>
      </c>
      <c r="O6">
        <v>18</v>
      </c>
      <c r="P6">
        <v>18</v>
      </c>
      <c r="Q6">
        <v>18</v>
      </c>
      <c r="R6">
        <v>27</v>
      </c>
      <c r="S6">
        <v>27</v>
      </c>
      <c r="T6">
        <v>18</v>
      </c>
      <c r="U6">
        <v>18</v>
      </c>
      <c r="V6">
        <v>27</v>
      </c>
      <c r="W6">
        <v>18</v>
      </c>
      <c r="X6">
        <v>18</v>
      </c>
      <c r="Y6">
        <v>18</v>
      </c>
      <c r="Z6">
        <v>0</v>
      </c>
    </row>
    <row r="7" spans="1:26" ht="24.95" customHeight="1" x14ac:dyDescent="0.25">
      <c r="A7" s="5">
        <v>16730002</v>
      </c>
      <c r="B7" t="s">
        <v>39</v>
      </c>
      <c r="D7" t="s">
        <v>43</v>
      </c>
      <c r="F7" t="s">
        <v>41</v>
      </c>
      <c r="G7" t="s">
        <v>114</v>
      </c>
      <c r="H7" s="6">
        <v>0.5</v>
      </c>
      <c r="I7">
        <f>VLOOKUP(Tabell22[[#This Row],[Artikkelnr.]],[1]Sheet1!$A:$CD,82,0)</f>
        <v>13.8</v>
      </c>
      <c r="J7" s="1">
        <v>251.9</v>
      </c>
      <c r="K7">
        <f t="shared" si="0"/>
        <v>283</v>
      </c>
      <c r="L7">
        <v>22</v>
      </c>
      <c r="M7">
        <v>18</v>
      </c>
      <c r="N7">
        <v>18</v>
      </c>
      <c r="O7">
        <v>18</v>
      </c>
      <c r="P7">
        <v>18</v>
      </c>
      <c r="Q7">
        <v>18</v>
      </c>
      <c r="R7">
        <v>27</v>
      </c>
      <c r="S7">
        <v>27</v>
      </c>
      <c r="T7">
        <v>18</v>
      </c>
      <c r="U7">
        <v>18</v>
      </c>
      <c r="V7">
        <v>27</v>
      </c>
      <c r="W7">
        <v>18</v>
      </c>
      <c r="X7">
        <v>18</v>
      </c>
      <c r="Y7">
        <v>18</v>
      </c>
      <c r="Z7">
        <v>0</v>
      </c>
    </row>
    <row r="8" spans="1:26" ht="24.95" customHeight="1" x14ac:dyDescent="0.25">
      <c r="A8" s="5">
        <v>5193902</v>
      </c>
      <c r="B8" t="s">
        <v>44</v>
      </c>
      <c r="D8" t="s">
        <v>45</v>
      </c>
      <c r="F8" t="s">
        <v>19</v>
      </c>
      <c r="G8" t="s">
        <v>114</v>
      </c>
      <c r="H8" s="6">
        <v>0.35499999999999998</v>
      </c>
      <c r="I8">
        <f>VLOOKUP(Tabell22[[#This Row],[Artikkelnr.]],[1]Sheet1!$A:$CD,82,0)</f>
        <v>5.2</v>
      </c>
      <c r="J8" s="1">
        <v>89.9</v>
      </c>
      <c r="K8">
        <f t="shared" si="0"/>
        <v>108</v>
      </c>
      <c r="L8">
        <v>18</v>
      </c>
      <c r="M8">
        <v>12</v>
      </c>
      <c r="N8">
        <v>18</v>
      </c>
      <c r="O8">
        <v>12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24</v>
      </c>
      <c r="W8">
        <v>0</v>
      </c>
      <c r="X8">
        <v>12</v>
      </c>
      <c r="Y8">
        <v>12</v>
      </c>
      <c r="Z8">
        <v>0</v>
      </c>
    </row>
    <row r="9" spans="1:26" ht="24.95" customHeight="1" x14ac:dyDescent="0.25">
      <c r="A9" s="5">
        <v>16730102</v>
      </c>
      <c r="B9" t="s">
        <v>46</v>
      </c>
      <c r="D9" t="s">
        <v>47</v>
      </c>
      <c r="F9" t="s">
        <v>48</v>
      </c>
      <c r="G9" t="s">
        <v>115</v>
      </c>
      <c r="H9" s="6">
        <v>0.44</v>
      </c>
      <c r="I9">
        <f>VLOOKUP(Tabell22[[#This Row],[Artikkelnr.]],[1]Sheet1!$A:$CD,82,0)</f>
        <v>4.9000000000000004</v>
      </c>
      <c r="J9" s="1">
        <v>80.900000000000006</v>
      </c>
      <c r="K9">
        <f t="shared" si="0"/>
        <v>474</v>
      </c>
      <c r="L9">
        <v>42</v>
      </c>
      <c r="M9">
        <v>48</v>
      </c>
      <c r="N9">
        <v>48</v>
      </c>
      <c r="O9">
        <v>24</v>
      </c>
      <c r="P9">
        <v>24</v>
      </c>
      <c r="Q9">
        <v>24</v>
      </c>
      <c r="R9">
        <v>48</v>
      </c>
      <c r="S9">
        <v>48</v>
      </c>
      <c r="T9">
        <v>48</v>
      </c>
      <c r="U9">
        <v>24</v>
      </c>
      <c r="V9">
        <v>24</v>
      </c>
      <c r="W9">
        <v>24</v>
      </c>
      <c r="X9">
        <v>24</v>
      </c>
      <c r="Y9">
        <v>24</v>
      </c>
      <c r="Z9">
        <v>0</v>
      </c>
    </row>
    <row r="10" spans="1:26" ht="24.95" customHeight="1" x14ac:dyDescent="0.25">
      <c r="A10" s="5">
        <v>12221002</v>
      </c>
      <c r="B10" t="s">
        <v>49</v>
      </c>
      <c r="D10" t="s">
        <v>50</v>
      </c>
      <c r="F10" t="s">
        <v>15</v>
      </c>
      <c r="G10" t="s">
        <v>116</v>
      </c>
      <c r="H10" s="6">
        <v>0.375</v>
      </c>
      <c r="I10">
        <f>VLOOKUP(Tabell22[[#This Row],[Artikkelnr.]],[1]Sheet1!$A:$CD,82,0)</f>
        <v>8</v>
      </c>
      <c r="J10" s="1">
        <v>128.80000000000001</v>
      </c>
      <c r="K10">
        <f t="shared" si="0"/>
        <v>167</v>
      </c>
      <c r="L10">
        <v>12</v>
      </c>
      <c r="M10">
        <v>11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>
        <v>12</v>
      </c>
      <c r="Y10">
        <v>12</v>
      </c>
      <c r="Z10">
        <v>0</v>
      </c>
    </row>
    <row r="11" spans="1:26" ht="24.95" customHeight="1" x14ac:dyDescent="0.25">
      <c r="A11" s="5">
        <v>11804301</v>
      </c>
      <c r="B11" t="s">
        <v>51</v>
      </c>
      <c r="D11" t="s">
        <v>52</v>
      </c>
      <c r="F11" t="s">
        <v>14</v>
      </c>
      <c r="G11" t="s">
        <v>114</v>
      </c>
      <c r="H11" s="6">
        <v>0.75</v>
      </c>
      <c r="I11">
        <f>VLOOKUP(Tabell22[[#This Row],[Artikkelnr.]],[1]Sheet1!$A:$CD,82,0)</f>
        <v>6.3</v>
      </c>
      <c r="J11" s="1">
        <v>148.69999999999999</v>
      </c>
      <c r="K11">
        <f t="shared" si="0"/>
        <v>116</v>
      </c>
      <c r="L11">
        <v>8</v>
      </c>
      <c r="M11">
        <v>12</v>
      </c>
      <c r="N11">
        <v>6</v>
      </c>
      <c r="O11">
        <v>6</v>
      </c>
      <c r="P11">
        <v>6</v>
      </c>
      <c r="Q11">
        <v>0</v>
      </c>
      <c r="R11">
        <v>12</v>
      </c>
      <c r="S11">
        <v>24</v>
      </c>
      <c r="T11">
        <v>12</v>
      </c>
      <c r="U11">
        <v>6</v>
      </c>
      <c r="V11">
        <v>12</v>
      </c>
      <c r="W11">
        <v>6</v>
      </c>
      <c r="X11">
        <v>6</v>
      </c>
      <c r="Y11">
        <v>0</v>
      </c>
      <c r="Z11">
        <v>0</v>
      </c>
    </row>
    <row r="12" spans="1:26" ht="24.95" customHeight="1" x14ac:dyDescent="0.25">
      <c r="A12" s="5">
        <v>16768302</v>
      </c>
      <c r="B12" t="s">
        <v>53</v>
      </c>
      <c r="D12" t="s">
        <v>54</v>
      </c>
      <c r="F12" t="s">
        <v>14</v>
      </c>
      <c r="G12" t="s">
        <v>114</v>
      </c>
      <c r="H12" s="6">
        <v>0.33</v>
      </c>
      <c r="I12">
        <f>VLOOKUP(Tabell22[[#This Row],[Artikkelnr.]],[1]Sheet1!$A:$CD,82,0)</f>
        <v>10.3</v>
      </c>
      <c r="J12" s="1">
        <v>131.30000000000001</v>
      </c>
      <c r="K12">
        <f t="shared" si="0"/>
        <v>690</v>
      </c>
      <c r="L12">
        <v>42</v>
      </c>
      <c r="M12">
        <v>48</v>
      </c>
      <c r="N12">
        <v>48</v>
      </c>
      <c r="O12">
        <v>48</v>
      </c>
      <c r="P12">
        <v>48</v>
      </c>
      <c r="Q12">
        <v>24</v>
      </c>
      <c r="R12">
        <v>48</v>
      </c>
      <c r="S12">
        <v>48</v>
      </c>
      <c r="T12">
        <v>48</v>
      </c>
      <c r="U12">
        <v>48</v>
      </c>
      <c r="V12">
        <v>48</v>
      </c>
      <c r="W12">
        <v>48</v>
      </c>
      <c r="X12">
        <v>48</v>
      </c>
      <c r="Y12">
        <v>96</v>
      </c>
      <c r="Z12">
        <v>0</v>
      </c>
    </row>
    <row r="13" spans="1:26" ht="24.95" customHeight="1" x14ac:dyDescent="0.25">
      <c r="A13" s="5">
        <v>16768402</v>
      </c>
      <c r="B13" t="s">
        <v>53</v>
      </c>
      <c r="D13" t="s">
        <v>55</v>
      </c>
      <c r="F13" t="s">
        <v>14</v>
      </c>
      <c r="G13" t="s">
        <v>114</v>
      </c>
      <c r="H13" s="6">
        <v>0.33</v>
      </c>
      <c r="I13">
        <f>VLOOKUP(Tabell22[[#This Row],[Artikkelnr.]],[1]Sheet1!$A:$CD,82,0)</f>
        <v>8.3000000000000007</v>
      </c>
      <c r="J13" s="1">
        <v>132.19999999999999</v>
      </c>
      <c r="K13">
        <f t="shared" si="0"/>
        <v>426</v>
      </c>
      <c r="L13">
        <v>30</v>
      </c>
      <c r="M13">
        <v>24</v>
      </c>
      <c r="N13">
        <v>24</v>
      </c>
      <c r="O13">
        <v>24</v>
      </c>
      <c r="P13">
        <v>24</v>
      </c>
      <c r="Q13">
        <v>24</v>
      </c>
      <c r="R13">
        <v>36</v>
      </c>
      <c r="S13">
        <v>36</v>
      </c>
      <c r="T13">
        <v>36</v>
      </c>
      <c r="U13">
        <v>24</v>
      </c>
      <c r="V13">
        <v>24</v>
      </c>
      <c r="W13">
        <v>24</v>
      </c>
      <c r="X13">
        <v>24</v>
      </c>
      <c r="Y13">
        <v>72</v>
      </c>
      <c r="Z13">
        <v>0</v>
      </c>
    </row>
    <row r="14" spans="1:26" ht="24.95" customHeight="1" x14ac:dyDescent="0.25">
      <c r="A14" s="5">
        <v>16730702</v>
      </c>
      <c r="B14" t="s">
        <v>17</v>
      </c>
      <c r="D14" t="s">
        <v>56</v>
      </c>
      <c r="E14" t="s">
        <v>57</v>
      </c>
      <c r="F14" t="s">
        <v>14</v>
      </c>
      <c r="G14" t="s">
        <v>18</v>
      </c>
      <c r="H14" s="6">
        <v>0.375</v>
      </c>
      <c r="I14">
        <f>VLOOKUP(Tabell22[[#This Row],[Artikkelnr.]],[1]Sheet1!$A:$CD,82,0)</f>
        <v>14</v>
      </c>
      <c r="J14" s="1">
        <v>349.4</v>
      </c>
      <c r="K14">
        <f t="shared" si="0"/>
        <v>56</v>
      </c>
      <c r="L14">
        <v>5</v>
      </c>
      <c r="M14">
        <v>3</v>
      </c>
      <c r="N14">
        <v>3</v>
      </c>
      <c r="O14">
        <v>3</v>
      </c>
      <c r="P14">
        <v>3</v>
      </c>
      <c r="Q14">
        <v>3</v>
      </c>
      <c r="R14">
        <v>6</v>
      </c>
      <c r="S14">
        <v>9</v>
      </c>
      <c r="T14">
        <v>6</v>
      </c>
      <c r="U14">
        <v>3</v>
      </c>
      <c r="V14">
        <v>3</v>
      </c>
      <c r="W14">
        <v>3</v>
      </c>
      <c r="X14">
        <v>3</v>
      </c>
      <c r="Y14">
        <v>3</v>
      </c>
      <c r="Z14">
        <v>0</v>
      </c>
    </row>
    <row r="15" spans="1:26" ht="24.95" customHeight="1" x14ac:dyDescent="0.25">
      <c r="A15" s="5">
        <v>16731002</v>
      </c>
      <c r="B15" t="s">
        <v>17</v>
      </c>
      <c r="D15" t="s">
        <v>58</v>
      </c>
      <c r="E15" t="s">
        <v>57</v>
      </c>
      <c r="F15" t="s">
        <v>14</v>
      </c>
      <c r="G15" t="s">
        <v>18</v>
      </c>
      <c r="H15" s="6">
        <v>0.375</v>
      </c>
      <c r="I15">
        <f>VLOOKUP(Tabell22[[#This Row],[Artikkelnr.]],[1]Sheet1!$A:$CD,82,0)</f>
        <v>12.5</v>
      </c>
      <c r="J15" s="1">
        <v>379.3</v>
      </c>
      <c r="K15">
        <f t="shared" si="0"/>
        <v>56</v>
      </c>
      <c r="L15">
        <v>5</v>
      </c>
      <c r="M15">
        <v>3</v>
      </c>
      <c r="N15">
        <v>3</v>
      </c>
      <c r="O15">
        <v>3</v>
      </c>
      <c r="P15">
        <v>3</v>
      </c>
      <c r="Q15">
        <v>3</v>
      </c>
      <c r="R15">
        <v>6</v>
      </c>
      <c r="S15">
        <v>9</v>
      </c>
      <c r="T15">
        <v>6</v>
      </c>
      <c r="U15">
        <v>3</v>
      </c>
      <c r="V15">
        <v>3</v>
      </c>
      <c r="W15">
        <v>3</v>
      </c>
      <c r="X15">
        <v>3</v>
      </c>
      <c r="Y15">
        <v>3</v>
      </c>
      <c r="Z15">
        <v>0</v>
      </c>
    </row>
    <row r="16" spans="1:26" ht="24.95" customHeight="1" x14ac:dyDescent="0.25">
      <c r="A16" s="5">
        <v>16730902</v>
      </c>
      <c r="B16" t="s">
        <v>17</v>
      </c>
      <c r="D16" t="s">
        <v>59</v>
      </c>
      <c r="E16" t="s">
        <v>57</v>
      </c>
      <c r="F16" t="s">
        <v>14</v>
      </c>
      <c r="G16" t="s">
        <v>18</v>
      </c>
      <c r="H16" s="6">
        <v>0.375</v>
      </c>
      <c r="I16">
        <f>VLOOKUP(Tabell22[[#This Row],[Artikkelnr.]],[1]Sheet1!$A:$CD,82,0)</f>
        <v>10</v>
      </c>
      <c r="J16" s="1">
        <v>379.3</v>
      </c>
      <c r="K16">
        <f t="shared" si="0"/>
        <v>145</v>
      </c>
      <c r="L16">
        <v>13</v>
      </c>
      <c r="M16">
        <v>12</v>
      </c>
      <c r="N16">
        <v>12</v>
      </c>
      <c r="O16">
        <v>12</v>
      </c>
      <c r="P16">
        <v>6</v>
      </c>
      <c r="Q16">
        <v>6</v>
      </c>
      <c r="R16">
        <v>12</v>
      </c>
      <c r="S16">
        <v>18</v>
      </c>
      <c r="T16">
        <v>12</v>
      </c>
      <c r="U16">
        <v>6</v>
      </c>
      <c r="V16">
        <v>12</v>
      </c>
      <c r="W16">
        <v>6</v>
      </c>
      <c r="X16">
        <v>6</v>
      </c>
      <c r="Y16">
        <v>6</v>
      </c>
      <c r="Z16">
        <v>6</v>
      </c>
    </row>
    <row r="17" spans="1:26" ht="24.95" customHeight="1" x14ac:dyDescent="0.25">
      <c r="A17" s="5">
        <v>16730802</v>
      </c>
      <c r="B17" t="s">
        <v>17</v>
      </c>
      <c r="D17" t="s">
        <v>60</v>
      </c>
      <c r="E17" t="s">
        <v>57</v>
      </c>
      <c r="F17" t="s">
        <v>14</v>
      </c>
      <c r="G17" t="s">
        <v>18</v>
      </c>
      <c r="H17" s="6">
        <v>0.375</v>
      </c>
      <c r="I17">
        <f>VLOOKUP(Tabell22[[#This Row],[Artikkelnr.]],[1]Sheet1!$A:$CD,82,0)</f>
        <v>13</v>
      </c>
      <c r="J17" s="1">
        <v>379.4</v>
      </c>
      <c r="K17">
        <f t="shared" si="0"/>
        <v>56</v>
      </c>
      <c r="L17">
        <v>5</v>
      </c>
      <c r="M17">
        <v>3</v>
      </c>
      <c r="N17">
        <v>3</v>
      </c>
      <c r="O17">
        <v>3</v>
      </c>
      <c r="P17">
        <v>3</v>
      </c>
      <c r="Q17">
        <v>3</v>
      </c>
      <c r="R17">
        <v>6</v>
      </c>
      <c r="S17">
        <v>9</v>
      </c>
      <c r="T17">
        <v>6</v>
      </c>
      <c r="U17">
        <v>3</v>
      </c>
      <c r="V17">
        <v>3</v>
      </c>
      <c r="W17">
        <v>3</v>
      </c>
      <c r="X17">
        <v>3</v>
      </c>
      <c r="Y17">
        <v>3</v>
      </c>
      <c r="Z17">
        <v>0</v>
      </c>
    </row>
    <row r="18" spans="1:26" ht="24.95" customHeight="1" x14ac:dyDescent="0.25">
      <c r="A18" s="5">
        <v>16772602</v>
      </c>
      <c r="B18" t="s">
        <v>61</v>
      </c>
      <c r="D18" t="s">
        <v>62</v>
      </c>
      <c r="F18" t="s">
        <v>19</v>
      </c>
      <c r="G18" t="s">
        <v>114</v>
      </c>
      <c r="H18" s="6">
        <v>0.5</v>
      </c>
      <c r="I18">
        <f>VLOOKUP(Tabell22[[#This Row],[Artikkelnr.]],[1]Sheet1!$A:$CD,82,0)</f>
        <v>13.1</v>
      </c>
      <c r="J18" s="1">
        <v>549.9</v>
      </c>
      <c r="K18">
        <f t="shared" si="0"/>
        <v>8</v>
      </c>
      <c r="L18">
        <v>0</v>
      </c>
      <c r="M18">
        <v>3</v>
      </c>
      <c r="N18">
        <v>3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ht="24.95" customHeight="1" x14ac:dyDescent="0.25">
      <c r="A19" s="5">
        <v>16779801</v>
      </c>
      <c r="B19" t="s">
        <v>63</v>
      </c>
      <c r="D19" t="s">
        <v>64</v>
      </c>
      <c r="F19" t="s">
        <v>14</v>
      </c>
      <c r="G19" t="s">
        <v>114</v>
      </c>
      <c r="H19" s="6">
        <v>0.75</v>
      </c>
      <c r="I19">
        <f>VLOOKUP(Tabell22[[#This Row],[Artikkelnr.]],[1]Sheet1!$A:$CD,82,0)</f>
        <v>18</v>
      </c>
      <c r="J19" s="1">
        <v>333.2</v>
      </c>
      <c r="K19">
        <f t="shared" si="0"/>
        <v>193</v>
      </c>
      <c r="L19">
        <v>15</v>
      </c>
      <c r="M19">
        <v>11</v>
      </c>
      <c r="N19">
        <v>11</v>
      </c>
      <c r="O19">
        <v>12</v>
      </c>
      <c r="P19">
        <v>12</v>
      </c>
      <c r="Q19">
        <v>12</v>
      </c>
      <c r="R19">
        <v>24</v>
      </c>
      <c r="S19">
        <v>24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0</v>
      </c>
    </row>
    <row r="20" spans="1:26" ht="24.95" customHeight="1" x14ac:dyDescent="0.25">
      <c r="A20" s="5">
        <v>16779901</v>
      </c>
      <c r="B20" t="s">
        <v>63</v>
      </c>
      <c r="D20" t="s">
        <v>65</v>
      </c>
      <c r="F20" t="s">
        <v>14</v>
      </c>
      <c r="G20" t="s">
        <v>114</v>
      </c>
      <c r="H20" s="6">
        <v>0.75</v>
      </c>
      <c r="I20">
        <f>VLOOKUP(Tabell22[[#This Row],[Artikkelnr.]],[1]Sheet1!$A:$CD,82,0)</f>
        <v>14</v>
      </c>
      <c r="J20" s="1">
        <v>361.6</v>
      </c>
      <c r="K20">
        <f t="shared" si="0"/>
        <v>156</v>
      </c>
      <c r="L20">
        <v>18</v>
      </c>
      <c r="M20">
        <v>11</v>
      </c>
      <c r="N20">
        <v>11</v>
      </c>
      <c r="O20">
        <v>6</v>
      </c>
      <c r="P20">
        <v>6</v>
      </c>
      <c r="Q20">
        <v>6</v>
      </c>
      <c r="R20">
        <v>24</v>
      </c>
      <c r="S20">
        <v>24</v>
      </c>
      <c r="T20">
        <v>14</v>
      </c>
      <c r="U20">
        <v>6</v>
      </c>
      <c r="V20">
        <v>12</v>
      </c>
      <c r="W20">
        <v>6</v>
      </c>
      <c r="X20">
        <v>6</v>
      </c>
      <c r="Y20">
        <v>6</v>
      </c>
      <c r="Z20">
        <v>0</v>
      </c>
    </row>
    <row r="21" spans="1:26" ht="24.95" customHeight="1" x14ac:dyDescent="0.25">
      <c r="A21" s="5">
        <v>16802001</v>
      </c>
      <c r="B21" t="s">
        <v>66</v>
      </c>
      <c r="D21" t="s">
        <v>67</v>
      </c>
      <c r="F21" t="s">
        <v>16</v>
      </c>
      <c r="G21" t="s">
        <v>116</v>
      </c>
      <c r="H21" s="6">
        <v>0.75</v>
      </c>
      <c r="I21">
        <f>VLOOKUP(Tabell22[[#This Row],[Artikkelnr.]],[1]Sheet1!$A:$CD,82,0)</f>
        <v>6.5</v>
      </c>
      <c r="J21" s="1">
        <v>234.1</v>
      </c>
      <c r="K21">
        <f t="shared" si="0"/>
        <v>21</v>
      </c>
      <c r="L21">
        <v>9</v>
      </c>
      <c r="M21">
        <v>0</v>
      </c>
      <c r="N21">
        <v>6</v>
      </c>
      <c r="O21">
        <v>3</v>
      </c>
      <c r="P21">
        <v>0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ht="24.95" customHeight="1" x14ac:dyDescent="0.25">
      <c r="A22" s="9">
        <v>16796602</v>
      </c>
      <c r="B22" s="10" t="s">
        <v>68</v>
      </c>
      <c r="C22" s="10" t="s">
        <v>121</v>
      </c>
      <c r="D22" t="s">
        <v>69</v>
      </c>
      <c r="F22" t="s">
        <v>15</v>
      </c>
      <c r="G22" t="s">
        <v>116</v>
      </c>
      <c r="H22" s="6">
        <v>0.375</v>
      </c>
      <c r="I22">
        <f>VLOOKUP(Tabell22[[#This Row],[Artikkelnr.]],[1]Sheet1!$A:$CD,82,0)</f>
        <v>17</v>
      </c>
      <c r="J22" s="1">
        <v>316.60000000000002</v>
      </c>
      <c r="K22">
        <f t="shared" si="0"/>
        <v>128</v>
      </c>
      <c r="L22">
        <v>12</v>
      </c>
      <c r="M22">
        <v>12</v>
      </c>
      <c r="N22">
        <v>6</v>
      </c>
      <c r="O22">
        <v>6</v>
      </c>
      <c r="P22">
        <v>6</v>
      </c>
      <c r="Q22">
        <v>6</v>
      </c>
      <c r="R22">
        <v>12</v>
      </c>
      <c r="S22">
        <v>20</v>
      </c>
      <c r="T22">
        <v>12</v>
      </c>
      <c r="U22">
        <v>6</v>
      </c>
      <c r="V22">
        <v>12</v>
      </c>
      <c r="W22">
        <v>6</v>
      </c>
      <c r="X22">
        <v>6</v>
      </c>
      <c r="Y22">
        <v>6</v>
      </c>
    </row>
    <row r="23" spans="1:26" ht="24.95" customHeight="1" x14ac:dyDescent="0.25">
      <c r="A23" s="9">
        <v>16796901</v>
      </c>
      <c r="B23" s="10" t="s">
        <v>70</v>
      </c>
      <c r="C23" s="10" t="s">
        <v>121</v>
      </c>
      <c r="D23" t="s">
        <v>71</v>
      </c>
      <c r="F23" t="s">
        <v>16</v>
      </c>
      <c r="G23" t="s">
        <v>116</v>
      </c>
      <c r="H23" s="6">
        <v>0.75</v>
      </c>
      <c r="I23">
        <f>VLOOKUP(Tabell22[[#This Row],[Artikkelnr.]],[1]Sheet1!$A:$CD,82,0)</f>
        <v>6.6</v>
      </c>
      <c r="J23" s="1">
        <v>296</v>
      </c>
      <c r="K23">
        <f t="shared" si="0"/>
        <v>66</v>
      </c>
      <c r="L23">
        <v>9</v>
      </c>
      <c r="M23">
        <v>6</v>
      </c>
      <c r="N23">
        <v>6</v>
      </c>
      <c r="O23">
        <v>3</v>
      </c>
      <c r="P23">
        <v>3</v>
      </c>
      <c r="Q23">
        <v>0</v>
      </c>
      <c r="R23">
        <v>6</v>
      </c>
      <c r="S23">
        <v>9</v>
      </c>
      <c r="T23">
        <v>6</v>
      </c>
      <c r="U23">
        <v>3</v>
      </c>
      <c r="V23">
        <v>6</v>
      </c>
      <c r="W23">
        <v>3</v>
      </c>
      <c r="X23">
        <v>3</v>
      </c>
      <c r="Y23">
        <v>3</v>
      </c>
    </row>
    <row r="24" spans="1:26" ht="24.95" customHeight="1" x14ac:dyDescent="0.25">
      <c r="A24" s="9">
        <v>16796802</v>
      </c>
      <c r="B24" s="10" t="s">
        <v>72</v>
      </c>
      <c r="C24" s="10" t="s">
        <v>121</v>
      </c>
      <c r="D24" t="s">
        <v>73</v>
      </c>
      <c r="F24" t="s">
        <v>16</v>
      </c>
      <c r="G24" t="s">
        <v>114</v>
      </c>
      <c r="H24" s="6">
        <v>0.33</v>
      </c>
      <c r="I24">
        <f>VLOOKUP(Tabell22[[#This Row],[Artikkelnr.]],[1]Sheet1!$A:$CD,82,0)</f>
        <v>9.8000000000000007</v>
      </c>
      <c r="J24" s="1">
        <v>196.1</v>
      </c>
      <c r="K24">
        <f t="shared" si="0"/>
        <v>192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24</v>
      </c>
      <c r="T24">
        <v>12</v>
      </c>
      <c r="U24">
        <v>12</v>
      </c>
      <c r="V24">
        <v>12</v>
      </c>
      <c r="W24">
        <v>12</v>
      </c>
      <c r="X24">
        <v>12</v>
      </c>
      <c r="Y24">
        <v>12</v>
      </c>
      <c r="Z24">
        <v>12</v>
      </c>
    </row>
    <row r="25" spans="1:26" ht="24.95" customHeight="1" x14ac:dyDescent="0.25">
      <c r="A25" s="5">
        <v>16797002</v>
      </c>
      <c r="B25" t="s">
        <v>74</v>
      </c>
      <c r="D25" t="s">
        <v>75</v>
      </c>
      <c r="F25" t="s">
        <v>16</v>
      </c>
      <c r="G25" t="s">
        <v>114</v>
      </c>
      <c r="H25" s="6">
        <v>0.5</v>
      </c>
      <c r="I25">
        <f>VLOOKUP(Tabell22[[#This Row],[Artikkelnr.]],[1]Sheet1!$A:$CD,82,0)</f>
        <v>10</v>
      </c>
      <c r="J25" s="1">
        <v>132.19999999999999</v>
      </c>
      <c r="K25">
        <f t="shared" si="0"/>
        <v>52</v>
      </c>
      <c r="L25">
        <v>4</v>
      </c>
      <c r="M25">
        <v>3</v>
      </c>
      <c r="N25">
        <v>6</v>
      </c>
      <c r="O25">
        <v>3</v>
      </c>
      <c r="P25">
        <v>3</v>
      </c>
      <c r="Q25">
        <v>0</v>
      </c>
      <c r="R25">
        <v>6</v>
      </c>
      <c r="S25">
        <v>9</v>
      </c>
      <c r="T25">
        <v>6</v>
      </c>
      <c r="U25">
        <v>3</v>
      </c>
      <c r="V25">
        <v>3</v>
      </c>
      <c r="W25">
        <v>3</v>
      </c>
      <c r="X25">
        <v>0</v>
      </c>
      <c r="Y25">
        <v>3</v>
      </c>
      <c r="Z25">
        <v>0</v>
      </c>
    </row>
    <row r="26" spans="1:26" ht="24.95" customHeight="1" x14ac:dyDescent="0.25">
      <c r="A26" s="9">
        <v>16796702</v>
      </c>
      <c r="B26" s="10" t="s">
        <v>76</v>
      </c>
      <c r="C26" s="10" t="s">
        <v>121</v>
      </c>
      <c r="D26" t="s">
        <v>77</v>
      </c>
      <c r="F26" t="s">
        <v>16</v>
      </c>
      <c r="G26" t="s">
        <v>116</v>
      </c>
      <c r="H26" s="6">
        <v>0.44</v>
      </c>
      <c r="I26">
        <f>VLOOKUP(Tabell22[[#This Row],[Artikkelnr.]],[1]Sheet1!$A:$CD,82,0)</f>
        <v>8</v>
      </c>
      <c r="J26" s="1">
        <v>149.69999999999999</v>
      </c>
      <c r="K26">
        <f t="shared" si="0"/>
        <v>384</v>
      </c>
      <c r="L26">
        <v>30</v>
      </c>
      <c r="M26">
        <v>24</v>
      </c>
      <c r="N26">
        <v>24</v>
      </c>
      <c r="O26">
        <v>24</v>
      </c>
      <c r="P26">
        <v>24</v>
      </c>
      <c r="Q26">
        <v>24</v>
      </c>
      <c r="R26">
        <v>30</v>
      </c>
      <c r="S26">
        <v>48</v>
      </c>
      <c r="T26">
        <v>30</v>
      </c>
      <c r="U26">
        <v>24</v>
      </c>
      <c r="V26">
        <v>30</v>
      </c>
      <c r="W26">
        <v>24</v>
      </c>
      <c r="X26">
        <v>24</v>
      </c>
      <c r="Y26">
        <v>24</v>
      </c>
      <c r="Z26" t="s">
        <v>118</v>
      </c>
    </row>
    <row r="27" spans="1:26" ht="24.95" customHeight="1" x14ac:dyDescent="0.25">
      <c r="A27" s="5">
        <v>16775801</v>
      </c>
      <c r="B27" t="s">
        <v>78</v>
      </c>
      <c r="D27" t="s">
        <v>79</v>
      </c>
      <c r="F27" t="s">
        <v>14</v>
      </c>
      <c r="G27" t="s">
        <v>117</v>
      </c>
      <c r="H27" s="6">
        <v>0.75</v>
      </c>
      <c r="I27">
        <f>VLOOKUP(Tabell22[[#This Row],[Artikkelnr.]],[1]Sheet1!$A:$CD,82,0)</f>
        <v>7</v>
      </c>
      <c r="J27" s="1">
        <v>260.3</v>
      </c>
      <c r="K27">
        <f t="shared" si="0"/>
        <v>445</v>
      </c>
      <c r="L27">
        <v>43</v>
      </c>
      <c r="M27">
        <v>36</v>
      </c>
      <c r="N27">
        <v>36</v>
      </c>
      <c r="O27">
        <v>24</v>
      </c>
      <c r="P27">
        <v>24</v>
      </c>
      <c r="Q27">
        <v>24</v>
      </c>
      <c r="R27">
        <v>54</v>
      </c>
      <c r="S27">
        <v>48</v>
      </c>
      <c r="T27">
        <v>36</v>
      </c>
      <c r="U27">
        <v>24</v>
      </c>
      <c r="V27">
        <v>24</v>
      </c>
      <c r="W27">
        <v>24</v>
      </c>
      <c r="X27">
        <v>24</v>
      </c>
      <c r="Y27">
        <v>24</v>
      </c>
      <c r="Z27" t="s">
        <v>118</v>
      </c>
    </row>
    <row r="28" spans="1:26" ht="24.95" customHeight="1" x14ac:dyDescent="0.25">
      <c r="A28" s="5">
        <v>16757601</v>
      </c>
      <c r="B28" t="s">
        <v>80</v>
      </c>
      <c r="D28" t="s">
        <v>81</v>
      </c>
      <c r="F28" t="s">
        <v>48</v>
      </c>
      <c r="G28" t="s">
        <v>114</v>
      </c>
      <c r="H28" s="6">
        <v>0.75</v>
      </c>
      <c r="I28">
        <f>VLOOKUP(Tabell22[[#This Row],[Artikkelnr.]],[1]Sheet1!$A:$CD,82,0)</f>
        <v>14</v>
      </c>
      <c r="J28" s="1">
        <v>293.3</v>
      </c>
      <c r="K28">
        <f t="shared" si="0"/>
        <v>91</v>
      </c>
      <c r="L28">
        <v>7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12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0</v>
      </c>
    </row>
    <row r="29" spans="1:26" ht="24.95" customHeight="1" x14ac:dyDescent="0.25">
      <c r="A29" s="5">
        <v>16757501</v>
      </c>
      <c r="B29" t="s">
        <v>80</v>
      </c>
      <c r="D29" t="s">
        <v>82</v>
      </c>
      <c r="F29" t="s">
        <v>48</v>
      </c>
      <c r="G29" t="s">
        <v>114</v>
      </c>
      <c r="H29" s="6">
        <v>0.75</v>
      </c>
      <c r="I29">
        <f>VLOOKUP(Tabell22[[#This Row],[Artikkelnr.]],[1]Sheet1!$A:$CD,82,0)</f>
        <v>12</v>
      </c>
      <c r="J29" s="1">
        <v>301.2</v>
      </c>
      <c r="K29">
        <f t="shared" si="0"/>
        <v>92</v>
      </c>
      <c r="L29">
        <v>2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12</v>
      </c>
      <c r="T29">
        <v>6</v>
      </c>
      <c r="U29">
        <v>6</v>
      </c>
      <c r="V29">
        <v>6</v>
      </c>
      <c r="W29">
        <v>6</v>
      </c>
      <c r="X29">
        <v>6</v>
      </c>
      <c r="Y29">
        <v>12</v>
      </c>
      <c r="Z29">
        <v>0</v>
      </c>
    </row>
    <row r="30" spans="1:26" ht="24.95" customHeight="1" x14ac:dyDescent="0.25">
      <c r="A30" s="5">
        <v>16757401</v>
      </c>
      <c r="B30" t="s">
        <v>80</v>
      </c>
      <c r="D30" t="s">
        <v>83</v>
      </c>
      <c r="F30" t="s">
        <v>48</v>
      </c>
      <c r="G30" t="s">
        <v>114</v>
      </c>
      <c r="H30" s="6">
        <v>0.75</v>
      </c>
      <c r="I30">
        <f>VLOOKUP(Tabell22[[#This Row],[Artikkelnr.]],[1]Sheet1!$A:$CD,82,0)</f>
        <v>12</v>
      </c>
      <c r="J30" s="1">
        <v>189.6</v>
      </c>
      <c r="K30">
        <f t="shared" si="0"/>
        <v>236</v>
      </c>
      <c r="L30">
        <v>20</v>
      </c>
      <c r="M30">
        <v>18</v>
      </c>
      <c r="N30">
        <v>18</v>
      </c>
      <c r="O30">
        <v>12</v>
      </c>
      <c r="P30">
        <v>12</v>
      </c>
      <c r="Q30">
        <v>12</v>
      </c>
      <c r="R30">
        <v>24</v>
      </c>
      <c r="S30">
        <v>30</v>
      </c>
      <c r="T30">
        <v>24</v>
      </c>
      <c r="U30">
        <v>12</v>
      </c>
      <c r="V30">
        <v>18</v>
      </c>
      <c r="W30">
        <v>12</v>
      </c>
      <c r="X30">
        <v>12</v>
      </c>
      <c r="Y30">
        <v>12</v>
      </c>
      <c r="Z30">
        <v>0</v>
      </c>
    </row>
    <row r="31" spans="1:26" ht="24.95" customHeight="1" x14ac:dyDescent="0.25">
      <c r="A31" s="5">
        <v>16757201</v>
      </c>
      <c r="B31" t="s">
        <v>80</v>
      </c>
      <c r="D31" t="s">
        <v>84</v>
      </c>
      <c r="F31" t="s">
        <v>48</v>
      </c>
      <c r="G31" t="s">
        <v>114</v>
      </c>
      <c r="H31" s="6">
        <v>0.75</v>
      </c>
      <c r="I31">
        <f>VLOOKUP(Tabell22[[#This Row],[Artikkelnr.]],[1]Sheet1!$A:$CD,82,0)</f>
        <v>15.6</v>
      </c>
      <c r="J31" s="1">
        <v>300.7</v>
      </c>
      <c r="K31">
        <f t="shared" si="0"/>
        <v>92</v>
      </c>
      <c r="L31">
        <v>8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12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0</v>
      </c>
    </row>
    <row r="32" spans="1:26" ht="24.95" customHeight="1" x14ac:dyDescent="0.25">
      <c r="A32" s="5">
        <v>16757801</v>
      </c>
      <c r="B32" t="s">
        <v>80</v>
      </c>
      <c r="D32" t="s">
        <v>85</v>
      </c>
      <c r="F32" t="s">
        <v>48</v>
      </c>
      <c r="G32" t="s">
        <v>114</v>
      </c>
      <c r="H32" s="6">
        <v>0.75</v>
      </c>
      <c r="I32">
        <f>VLOOKUP(Tabell22[[#This Row],[Artikkelnr.]],[1]Sheet1!$A:$CD,82,0)</f>
        <v>12.5</v>
      </c>
      <c r="J32" s="1">
        <v>286.39999999999998</v>
      </c>
      <c r="K32">
        <f t="shared" si="0"/>
        <v>92</v>
      </c>
      <c r="L32">
        <v>14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12</v>
      </c>
      <c r="T32">
        <v>6</v>
      </c>
      <c r="U32">
        <v>6</v>
      </c>
      <c r="V32">
        <v>6</v>
      </c>
      <c r="W32">
        <v>6</v>
      </c>
      <c r="X32">
        <v>6</v>
      </c>
      <c r="Y32">
        <v>0</v>
      </c>
      <c r="Z32">
        <v>0</v>
      </c>
    </row>
    <row r="33" spans="1:26" ht="24.95" customHeight="1" x14ac:dyDescent="0.25">
      <c r="A33" s="5">
        <v>16757301</v>
      </c>
      <c r="B33" t="s">
        <v>80</v>
      </c>
      <c r="D33" t="s">
        <v>86</v>
      </c>
      <c r="F33" t="s">
        <v>48</v>
      </c>
      <c r="G33" t="s">
        <v>114</v>
      </c>
      <c r="H33" s="6">
        <v>0.75</v>
      </c>
      <c r="I33">
        <f>VLOOKUP(Tabell22[[#This Row],[Artikkelnr.]],[1]Sheet1!$A:$CD,82,0)</f>
        <v>15</v>
      </c>
      <c r="J33" s="1">
        <v>297.89999999999998</v>
      </c>
      <c r="K33">
        <f t="shared" si="0"/>
        <v>92</v>
      </c>
      <c r="L33">
        <v>8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12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0</v>
      </c>
    </row>
    <row r="34" spans="1:26" ht="24.95" customHeight="1" x14ac:dyDescent="0.25">
      <c r="A34" s="5">
        <v>16747702</v>
      </c>
      <c r="B34" t="s">
        <v>87</v>
      </c>
      <c r="D34" t="s">
        <v>88</v>
      </c>
      <c r="F34" t="s">
        <v>89</v>
      </c>
      <c r="G34" t="s">
        <v>114</v>
      </c>
      <c r="H34" s="6">
        <v>0.33</v>
      </c>
      <c r="I34">
        <f>VLOOKUP(Tabell22[[#This Row],[Artikkelnr.]],[1]Sheet1!$A:$CD,82,0)</f>
        <v>10.5</v>
      </c>
      <c r="J34" s="1">
        <v>113.3</v>
      </c>
      <c r="K34">
        <f t="shared" si="0"/>
        <v>162</v>
      </c>
      <c r="L34">
        <v>6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12</v>
      </c>
      <c r="S34">
        <v>12</v>
      </c>
      <c r="T34">
        <v>12</v>
      </c>
      <c r="U34">
        <v>12</v>
      </c>
      <c r="V34">
        <v>12</v>
      </c>
      <c r="W34">
        <v>12</v>
      </c>
      <c r="X34">
        <v>12</v>
      </c>
      <c r="Y34">
        <v>12</v>
      </c>
      <c r="Z34">
        <v>0</v>
      </c>
    </row>
    <row r="35" spans="1:26" ht="24.95" customHeight="1" x14ac:dyDescent="0.25">
      <c r="A35" s="5">
        <v>16802101</v>
      </c>
      <c r="B35" t="s">
        <v>90</v>
      </c>
      <c r="D35" t="s">
        <v>91</v>
      </c>
      <c r="E35" t="s">
        <v>92</v>
      </c>
      <c r="F35" t="s">
        <v>19</v>
      </c>
      <c r="G35" t="s">
        <v>114</v>
      </c>
      <c r="H35" s="6">
        <v>0.75</v>
      </c>
      <c r="I35">
        <f>VLOOKUP(Tabell22[[#This Row],[Artikkelnr.]],[1]Sheet1!$A:$CD,82,0)</f>
        <v>19.5</v>
      </c>
      <c r="J35" s="1">
        <v>589.70000000000005</v>
      </c>
      <c r="K35">
        <f t="shared" si="0"/>
        <v>44</v>
      </c>
      <c r="L35">
        <v>4</v>
      </c>
      <c r="M35">
        <v>3</v>
      </c>
      <c r="N35">
        <v>3</v>
      </c>
      <c r="O35">
        <v>3</v>
      </c>
      <c r="P35">
        <v>0</v>
      </c>
      <c r="Q35">
        <v>0</v>
      </c>
      <c r="R35">
        <v>6</v>
      </c>
      <c r="S35">
        <v>6</v>
      </c>
      <c r="T35">
        <v>4</v>
      </c>
      <c r="U35">
        <v>3</v>
      </c>
      <c r="V35">
        <v>3</v>
      </c>
      <c r="W35">
        <v>3</v>
      </c>
      <c r="X35">
        <v>3</v>
      </c>
      <c r="Y35">
        <v>3</v>
      </c>
      <c r="Z35">
        <v>0</v>
      </c>
    </row>
    <row r="36" spans="1:26" ht="24.95" customHeight="1" x14ac:dyDescent="0.25">
      <c r="A36" s="5">
        <v>16802602</v>
      </c>
      <c r="B36" t="s">
        <v>93</v>
      </c>
      <c r="D36" t="s">
        <v>94</v>
      </c>
      <c r="F36" t="s">
        <v>14</v>
      </c>
      <c r="G36" t="s">
        <v>114</v>
      </c>
      <c r="H36" s="6">
        <v>0.33</v>
      </c>
      <c r="I36">
        <f>VLOOKUP(Tabell22[[#This Row],[Artikkelnr.]],[1]Sheet1!$A:$CD,82,0)</f>
        <v>6.6</v>
      </c>
      <c r="J36" s="1">
        <v>107.2</v>
      </c>
      <c r="K36">
        <f t="shared" si="0"/>
        <v>18</v>
      </c>
      <c r="L36">
        <v>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ht="24.95" customHeight="1" x14ac:dyDescent="0.25">
      <c r="A37" s="5">
        <v>16802702</v>
      </c>
      <c r="B37" t="s">
        <v>93</v>
      </c>
      <c r="D37" t="s">
        <v>95</v>
      </c>
      <c r="F37" t="s">
        <v>14</v>
      </c>
      <c r="G37" t="s">
        <v>115</v>
      </c>
      <c r="H37" s="6">
        <v>0.33</v>
      </c>
      <c r="I37">
        <f>VLOOKUP(Tabell22[[#This Row],[Artikkelnr.]],[1]Sheet1!$A:$CD,82,0)</f>
        <v>12.6</v>
      </c>
      <c r="J37" s="1">
        <v>150.80000000000001</v>
      </c>
      <c r="K37">
        <f t="shared" si="0"/>
        <v>24</v>
      </c>
      <c r="L37">
        <v>12</v>
      </c>
      <c r="M37">
        <v>6</v>
      </c>
      <c r="N37">
        <v>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ht="24.95" customHeight="1" x14ac:dyDescent="0.25">
      <c r="A38" s="5">
        <v>16747801</v>
      </c>
      <c r="B38" t="s">
        <v>20</v>
      </c>
      <c r="D38" t="s">
        <v>96</v>
      </c>
      <c r="F38" t="s">
        <v>14</v>
      </c>
      <c r="G38" t="s">
        <v>18</v>
      </c>
      <c r="H38" s="6">
        <v>0.75</v>
      </c>
      <c r="I38">
        <f>VLOOKUP(Tabell22[[#This Row],[Artikkelnr.]],[1]Sheet1!$A:$CD,82,0)</f>
        <v>10.5</v>
      </c>
      <c r="J38" s="1">
        <v>299.3</v>
      </c>
      <c r="K38">
        <f t="shared" si="0"/>
        <v>421</v>
      </c>
      <c r="L38">
        <v>25</v>
      </c>
      <c r="M38">
        <v>24</v>
      </c>
      <c r="N38">
        <v>24</v>
      </c>
      <c r="O38">
        <v>18</v>
      </c>
      <c r="P38">
        <v>24</v>
      </c>
      <c r="Q38">
        <v>24</v>
      </c>
      <c r="R38">
        <v>66</v>
      </c>
      <c r="S38">
        <v>48</v>
      </c>
      <c r="T38">
        <v>30</v>
      </c>
      <c r="U38">
        <v>24</v>
      </c>
      <c r="V38">
        <v>30</v>
      </c>
      <c r="W38">
        <v>24</v>
      </c>
      <c r="X38">
        <v>24</v>
      </c>
      <c r="Y38">
        <v>24</v>
      </c>
      <c r="Z38">
        <v>12</v>
      </c>
    </row>
    <row r="39" spans="1:26" ht="24.95" customHeight="1" x14ac:dyDescent="0.25">
      <c r="A39" s="5">
        <v>16802201</v>
      </c>
      <c r="B39" t="s">
        <v>97</v>
      </c>
      <c r="D39" t="s">
        <v>98</v>
      </c>
      <c r="F39" t="s">
        <v>15</v>
      </c>
      <c r="G39" t="s">
        <v>116</v>
      </c>
      <c r="H39" s="6">
        <v>0.75</v>
      </c>
      <c r="I39">
        <f>VLOOKUP(Tabell22[[#This Row],[Artikkelnr.]],[1]Sheet1!$A:$CD,82,0)</f>
        <v>6</v>
      </c>
      <c r="J39" s="1">
        <v>279.8</v>
      </c>
      <c r="K39">
        <f t="shared" si="0"/>
        <v>81</v>
      </c>
      <c r="L39">
        <v>8</v>
      </c>
      <c r="M39">
        <v>6</v>
      </c>
      <c r="N39">
        <v>6</v>
      </c>
      <c r="O39">
        <v>3</v>
      </c>
      <c r="P39">
        <v>3</v>
      </c>
      <c r="Q39">
        <v>3</v>
      </c>
      <c r="R39">
        <v>12</v>
      </c>
      <c r="S39">
        <v>12</v>
      </c>
      <c r="T39">
        <v>10</v>
      </c>
      <c r="U39">
        <v>3</v>
      </c>
      <c r="V39">
        <v>6</v>
      </c>
      <c r="W39">
        <v>3</v>
      </c>
      <c r="X39">
        <v>3</v>
      </c>
      <c r="Y39">
        <v>3</v>
      </c>
      <c r="Z39">
        <v>0</v>
      </c>
    </row>
    <row r="40" spans="1:26" ht="24.95" customHeight="1" x14ac:dyDescent="0.25">
      <c r="A40" s="5">
        <v>16802301</v>
      </c>
      <c r="B40" t="s">
        <v>97</v>
      </c>
      <c r="D40" t="s">
        <v>99</v>
      </c>
      <c r="F40" t="s">
        <v>15</v>
      </c>
      <c r="G40" t="s">
        <v>114</v>
      </c>
      <c r="H40" s="6">
        <v>0.75</v>
      </c>
      <c r="I40">
        <f>VLOOKUP(Tabell22[[#This Row],[Artikkelnr.]],[1]Sheet1!$A:$CD,82,0)</f>
        <v>6.5</v>
      </c>
      <c r="J40" s="1">
        <v>249.9</v>
      </c>
      <c r="K40">
        <f t="shared" si="0"/>
        <v>11</v>
      </c>
      <c r="L40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11</v>
      </c>
    </row>
    <row r="41" spans="1:26" ht="24.95" customHeight="1" x14ac:dyDescent="0.25">
      <c r="A41" s="5">
        <v>16802402</v>
      </c>
      <c r="B41" t="s">
        <v>97</v>
      </c>
      <c r="D41" t="s">
        <v>100</v>
      </c>
      <c r="F41" t="s">
        <v>15</v>
      </c>
      <c r="G41" t="s">
        <v>114</v>
      </c>
      <c r="H41" s="6">
        <v>0.375</v>
      </c>
      <c r="I41">
        <f>VLOOKUP(Tabell22[[#This Row],[Artikkelnr.]],[1]Sheet1!$A:$CD,82,0)</f>
        <v>5.5</v>
      </c>
      <c r="J41" s="1">
        <v>129.9</v>
      </c>
      <c r="K41">
        <f t="shared" si="0"/>
        <v>119</v>
      </c>
      <c r="L41">
        <v>5</v>
      </c>
      <c r="M41">
        <v>6</v>
      </c>
      <c r="N41">
        <v>6</v>
      </c>
      <c r="O41">
        <v>6</v>
      </c>
      <c r="P41">
        <v>6</v>
      </c>
      <c r="Q41">
        <v>6</v>
      </c>
      <c r="R41">
        <v>12</v>
      </c>
      <c r="S41">
        <v>12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24</v>
      </c>
    </row>
    <row r="42" spans="1:26" ht="24.95" customHeight="1" x14ac:dyDescent="0.25">
      <c r="A42" s="5">
        <v>16737702</v>
      </c>
      <c r="B42" t="s">
        <v>101</v>
      </c>
      <c r="D42" t="s">
        <v>102</v>
      </c>
      <c r="E42" t="s">
        <v>38</v>
      </c>
      <c r="F42" t="s">
        <v>14</v>
      </c>
      <c r="G42" t="s">
        <v>114</v>
      </c>
      <c r="H42" s="6">
        <v>0.33</v>
      </c>
      <c r="I42">
        <f>VLOOKUP(Tabell22[[#This Row],[Artikkelnr.]],[1]Sheet1!$A:$CD,82,0)</f>
        <v>14</v>
      </c>
      <c r="J42" s="1">
        <v>109.9</v>
      </c>
      <c r="K42">
        <f t="shared" si="0"/>
        <v>474</v>
      </c>
      <c r="L42">
        <v>42</v>
      </c>
      <c r="M42">
        <v>36</v>
      </c>
      <c r="N42">
        <v>36</v>
      </c>
      <c r="O42">
        <v>24</v>
      </c>
      <c r="P42">
        <v>24</v>
      </c>
      <c r="Q42">
        <v>24</v>
      </c>
      <c r="R42">
        <v>48</v>
      </c>
      <c r="S42">
        <v>48</v>
      </c>
      <c r="T42">
        <v>48</v>
      </c>
      <c r="U42">
        <v>24</v>
      </c>
      <c r="V42">
        <v>48</v>
      </c>
      <c r="W42">
        <v>24</v>
      </c>
      <c r="X42">
        <v>24</v>
      </c>
      <c r="Y42">
        <v>24</v>
      </c>
      <c r="Z42">
        <v>0</v>
      </c>
    </row>
    <row r="43" spans="1:26" ht="24.95" customHeight="1" x14ac:dyDescent="0.25">
      <c r="A43" s="5">
        <v>16758504</v>
      </c>
      <c r="B43" t="s">
        <v>103</v>
      </c>
      <c r="D43" t="s">
        <v>104</v>
      </c>
      <c r="E43" t="s">
        <v>57</v>
      </c>
      <c r="F43" t="s">
        <v>105</v>
      </c>
      <c r="G43" t="s">
        <v>117</v>
      </c>
      <c r="H43" s="6">
        <v>0.25</v>
      </c>
      <c r="I43">
        <f>VLOOKUP(Tabell22[[#This Row],[Artikkelnr.]],[1]Sheet1!$A:$CD,82,0)</f>
        <v>6</v>
      </c>
      <c r="J43" s="1">
        <v>82.8</v>
      </c>
      <c r="K43">
        <f t="shared" si="0"/>
        <v>281</v>
      </c>
      <c r="L43">
        <v>17</v>
      </c>
      <c r="M43">
        <v>24</v>
      </c>
      <c r="N43">
        <v>24</v>
      </c>
      <c r="O43">
        <v>12</v>
      </c>
      <c r="P43">
        <v>12</v>
      </c>
      <c r="Q43">
        <v>0</v>
      </c>
      <c r="R43">
        <v>60</v>
      </c>
      <c r="S43">
        <v>24</v>
      </c>
      <c r="T43">
        <v>24</v>
      </c>
      <c r="U43">
        <v>12</v>
      </c>
      <c r="V43">
        <v>24</v>
      </c>
      <c r="W43">
        <v>12</v>
      </c>
      <c r="X43">
        <v>24</v>
      </c>
      <c r="Y43">
        <v>12</v>
      </c>
      <c r="Z43" t="s">
        <v>118</v>
      </c>
    </row>
    <row r="44" spans="1:26" ht="24.95" customHeight="1" x14ac:dyDescent="0.25">
      <c r="A44" s="5">
        <v>16758604</v>
      </c>
      <c r="B44" t="s">
        <v>103</v>
      </c>
      <c r="D44" t="s">
        <v>106</v>
      </c>
      <c r="F44" t="s">
        <v>105</v>
      </c>
      <c r="G44" t="s">
        <v>117</v>
      </c>
      <c r="H44" s="6">
        <v>0.25</v>
      </c>
      <c r="I44">
        <f>VLOOKUP(Tabell22[[#This Row],[Artikkelnr.]],[1]Sheet1!$A:$CD,82,0)</f>
        <v>7</v>
      </c>
      <c r="J44" s="1">
        <v>85.3</v>
      </c>
      <c r="K44">
        <f t="shared" si="0"/>
        <v>282</v>
      </c>
      <c r="L44">
        <v>18</v>
      </c>
      <c r="M44">
        <v>24</v>
      </c>
      <c r="N44">
        <v>24</v>
      </c>
      <c r="O44">
        <v>12</v>
      </c>
      <c r="P44">
        <v>12</v>
      </c>
      <c r="Q44">
        <v>0</v>
      </c>
      <c r="R44">
        <v>60</v>
      </c>
      <c r="S44">
        <v>24</v>
      </c>
      <c r="T44">
        <v>24</v>
      </c>
      <c r="U44">
        <v>12</v>
      </c>
      <c r="V44">
        <v>24</v>
      </c>
      <c r="W44">
        <v>12</v>
      </c>
      <c r="X44">
        <v>24</v>
      </c>
      <c r="Y44">
        <v>12</v>
      </c>
      <c r="Z44" t="s">
        <v>118</v>
      </c>
    </row>
    <row r="45" spans="1:26" ht="24.95" customHeight="1" x14ac:dyDescent="0.25">
      <c r="A45" s="5">
        <v>16782201</v>
      </c>
      <c r="B45" t="s">
        <v>107</v>
      </c>
      <c r="D45" t="s">
        <v>108</v>
      </c>
      <c r="F45" t="s">
        <v>15</v>
      </c>
      <c r="G45" t="s">
        <v>114</v>
      </c>
      <c r="H45" s="6">
        <v>0.75</v>
      </c>
      <c r="I45">
        <f>VLOOKUP(Tabell22[[#This Row],[Artikkelnr.]],[1]Sheet1!$A:$CD,82,0)</f>
        <v>11.5</v>
      </c>
      <c r="J45" s="1">
        <v>359.7</v>
      </c>
      <c r="K45">
        <f t="shared" si="0"/>
        <v>151</v>
      </c>
      <c r="L45">
        <v>7</v>
      </c>
      <c r="M45">
        <v>12</v>
      </c>
      <c r="O45">
        <v>12</v>
      </c>
      <c r="P45">
        <v>12</v>
      </c>
      <c r="Q45">
        <v>12</v>
      </c>
      <c r="R45">
        <v>12</v>
      </c>
      <c r="S45">
        <v>12</v>
      </c>
      <c r="T45">
        <v>12</v>
      </c>
      <c r="U45">
        <v>12</v>
      </c>
      <c r="V45">
        <v>12</v>
      </c>
      <c r="W45">
        <v>12</v>
      </c>
      <c r="X45">
        <v>12</v>
      </c>
      <c r="Y45">
        <v>12</v>
      </c>
      <c r="Z45">
        <v>0</v>
      </c>
    </row>
    <row r="46" spans="1:26" ht="24.95" customHeight="1" x14ac:dyDescent="0.25">
      <c r="A46" s="5">
        <v>10177301</v>
      </c>
      <c r="B46" t="s">
        <v>109</v>
      </c>
      <c r="D46" t="s">
        <v>110</v>
      </c>
      <c r="F46" t="s">
        <v>16</v>
      </c>
      <c r="G46" t="s">
        <v>114</v>
      </c>
      <c r="H46" s="6">
        <v>0.55000000000000004</v>
      </c>
      <c r="I46">
        <f>VLOOKUP(Tabell22[[#This Row],[Artikkelnr.]],[1]Sheet1!$A:$CD,82,0)</f>
        <v>8</v>
      </c>
      <c r="J46" s="1">
        <v>115.4</v>
      </c>
      <c r="K46">
        <f t="shared" si="0"/>
        <v>354</v>
      </c>
      <c r="L46">
        <v>18</v>
      </c>
      <c r="M46">
        <v>24</v>
      </c>
      <c r="N46">
        <v>24</v>
      </c>
      <c r="O46">
        <v>24</v>
      </c>
      <c r="P46">
        <v>24</v>
      </c>
      <c r="Q46">
        <v>24</v>
      </c>
      <c r="R46">
        <v>24</v>
      </c>
      <c r="S46">
        <v>48</v>
      </c>
      <c r="T46">
        <v>24</v>
      </c>
      <c r="U46">
        <v>24</v>
      </c>
      <c r="V46">
        <v>24</v>
      </c>
      <c r="W46">
        <v>24</v>
      </c>
      <c r="X46">
        <v>24</v>
      </c>
      <c r="Y46">
        <v>24</v>
      </c>
      <c r="Z46">
        <v>0</v>
      </c>
    </row>
    <row r="47" spans="1:26" ht="24.95" customHeight="1" x14ac:dyDescent="0.25">
      <c r="A47" s="5">
        <v>16782102</v>
      </c>
      <c r="B47" t="s">
        <v>111</v>
      </c>
      <c r="D47" t="s">
        <v>112</v>
      </c>
      <c r="F47" t="s">
        <v>16</v>
      </c>
      <c r="G47" t="s">
        <v>114</v>
      </c>
      <c r="H47" s="6">
        <v>0.33</v>
      </c>
      <c r="I47">
        <f>VLOOKUP(Tabell22[[#This Row],[Artikkelnr.]],[1]Sheet1!$A:$CD,82,0)</f>
        <v>12.2</v>
      </c>
      <c r="J47" s="1">
        <v>119.7</v>
      </c>
      <c r="K47">
        <f t="shared" si="0"/>
        <v>114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12</v>
      </c>
      <c r="S47">
        <v>18</v>
      </c>
      <c r="T47">
        <v>12</v>
      </c>
      <c r="U47">
        <v>6</v>
      </c>
      <c r="V47">
        <v>12</v>
      </c>
      <c r="W47">
        <v>6</v>
      </c>
      <c r="X47">
        <v>6</v>
      </c>
      <c r="Y47">
        <v>6</v>
      </c>
      <c r="Z47">
        <v>0</v>
      </c>
    </row>
    <row r="48" spans="1:26" ht="24.95" customHeight="1" x14ac:dyDescent="0.25">
      <c r="A48" s="5">
        <v>16782302</v>
      </c>
      <c r="B48" t="s">
        <v>111</v>
      </c>
      <c r="D48" t="s">
        <v>113</v>
      </c>
      <c r="F48" t="s">
        <v>16</v>
      </c>
      <c r="G48" t="s">
        <v>114</v>
      </c>
      <c r="H48" s="6">
        <v>0.33</v>
      </c>
      <c r="I48">
        <f>VLOOKUP(Tabell22[[#This Row],[Artikkelnr.]],[1]Sheet1!$A:$CD,82,0)</f>
        <v>11.1</v>
      </c>
      <c r="J48" s="1">
        <v>114.7</v>
      </c>
      <c r="K48">
        <f t="shared" si="0"/>
        <v>115</v>
      </c>
      <c r="L48">
        <v>7</v>
      </c>
      <c r="M48">
        <v>6</v>
      </c>
      <c r="N48">
        <v>6</v>
      </c>
      <c r="O48">
        <v>6</v>
      </c>
      <c r="P48">
        <v>6</v>
      </c>
      <c r="Q48">
        <v>6</v>
      </c>
      <c r="R48">
        <v>12</v>
      </c>
      <c r="S48">
        <v>18</v>
      </c>
      <c r="T48">
        <v>12</v>
      </c>
      <c r="U48">
        <v>6</v>
      </c>
      <c r="V48">
        <v>12</v>
      </c>
      <c r="W48">
        <v>6</v>
      </c>
      <c r="X48">
        <v>6</v>
      </c>
      <c r="Y48">
        <v>6</v>
      </c>
      <c r="Z48">
        <v>0</v>
      </c>
    </row>
    <row r="49" spans="1:25" ht="24.95" customHeight="1" x14ac:dyDescent="0.25">
      <c r="A49" s="5">
        <v>16747602</v>
      </c>
      <c r="B49" t="s">
        <v>87</v>
      </c>
      <c r="D49" t="s">
        <v>119</v>
      </c>
      <c r="E49" s="8">
        <v>2022</v>
      </c>
      <c r="F49" t="s">
        <v>89</v>
      </c>
      <c r="G49" t="s">
        <v>114</v>
      </c>
      <c r="H49" s="6">
        <v>0.33</v>
      </c>
      <c r="I49">
        <v>12</v>
      </c>
      <c r="J49" s="1">
        <v>109</v>
      </c>
      <c r="K49">
        <f t="shared" si="0"/>
        <v>120</v>
      </c>
      <c r="L49">
        <v>12</v>
      </c>
      <c r="M49">
        <v>12</v>
      </c>
      <c r="N49">
        <v>12</v>
      </c>
      <c r="O49">
        <v>0</v>
      </c>
      <c r="P49">
        <v>0</v>
      </c>
      <c r="Q49">
        <v>0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0</v>
      </c>
      <c r="Y49">
        <v>12</v>
      </c>
    </row>
    <row r="50" spans="1:25" x14ac:dyDescent="0.25">
      <c r="A50" s="5"/>
      <c r="G50" s="6"/>
      <c r="H50" s="2"/>
      <c r="I50" s="1"/>
    </row>
    <row r="51" spans="1:25" x14ac:dyDescent="0.25">
      <c r="A51" s="5"/>
      <c r="G51" s="6"/>
      <c r="H51" s="2"/>
      <c r="I51" s="1"/>
    </row>
    <row r="52" spans="1:25" x14ac:dyDescent="0.25">
      <c r="A52" s="5"/>
      <c r="G52" s="6"/>
      <c r="H52" s="2"/>
      <c r="I52" s="1"/>
    </row>
    <row r="53" spans="1:25" x14ac:dyDescent="0.25">
      <c r="A53" s="5"/>
      <c r="G53" s="6"/>
      <c r="H53" s="2"/>
      <c r="I53" s="1"/>
    </row>
    <row r="54" spans="1:25" x14ac:dyDescent="0.25">
      <c r="A54" s="5"/>
      <c r="G54" s="6"/>
      <c r="H54" s="2"/>
      <c r="I54" s="1"/>
    </row>
    <row r="55" spans="1:25" x14ac:dyDescent="0.25">
      <c r="A55" s="5"/>
      <c r="G55" s="6"/>
      <c r="H55" s="2"/>
      <c r="I55" s="1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infopath/2007/PartnerControls"/>
    <ds:schemaRef ds:uri="6f9d9f57-3724-4ee0-9bc0-8a070f583ba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6ee34bc-3c3e-49ed-81f0-4f6da9966ad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B74C7D0-DA34-488B-8F62-F00112297455}"/>
</file>

<file path=customXml/itemProps3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2024-02-05T12:26:19Z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