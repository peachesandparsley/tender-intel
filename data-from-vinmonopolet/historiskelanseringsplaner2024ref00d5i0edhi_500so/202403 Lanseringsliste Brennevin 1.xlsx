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3 Brennevin/"/>
    </mc:Choice>
  </mc:AlternateContent>
  <xr:revisionPtr revIDLastSave="26" documentId="8_{ECA67FDE-C013-459F-A3F7-4D4948FE7304}" xr6:coauthVersionLast="47" xr6:coauthVersionMax="47" xr10:uidLastSave="{ACDA9031-90DD-437A-85D4-D7B07996E2EB}"/>
  <bookViews>
    <workbookView xWindow="-120" yWindow="-120" windowWidth="29040" windowHeight="17640" xr2:uid="{BE052097-9778-4E71-A305-FED9C9B3892F}"/>
  </bookViews>
  <sheets>
    <sheet name="Ark1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2" i="1"/>
  <c r="W7" i="1"/>
  <c r="W9" i="1"/>
  <c r="W26" i="1"/>
  <c r="W32" i="1"/>
  <c r="W37" i="1"/>
  <c r="W38" i="1"/>
  <c r="W39" i="1"/>
  <c r="W40" i="1"/>
  <c r="W41" i="1"/>
  <c r="W43" i="1"/>
  <c r="W44" i="1"/>
  <c r="W45" i="1"/>
  <c r="W49" i="1"/>
  <c r="W50" i="1"/>
  <c r="W51" i="1"/>
  <c r="W57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</calcChain>
</file>

<file path=xl/sharedStrings.xml><?xml version="1.0" encoding="utf-8"?>
<sst xmlns="http://schemas.openxmlformats.org/spreadsheetml/2006/main" count="384" uniqueCount="158">
  <si>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</si>
  <si>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</si>
  <si>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</si>
  <si>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</si>
  <si>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</si>
  <si>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</si>
  <si>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</si>
  <si>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</si>
  <si>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</si>
  <si>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</si>
  <si>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</si>
  <si>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</si>
  <si>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</si>
  <si>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</si>
  <si>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</si>
  <si>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</si>
  <si>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</si>
  <si>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</si>
  <si>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</si>
  <si>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</si>
  <si>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</si>
  <si>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Fordeling lager Vestby (801)</t>
  </si>
  <si>
    <t xml:space="preserve">Til kvotering </t>
  </si>
  <si>
    <t>Skottland</t>
  </si>
  <si>
    <t>Single Malt Whisky</t>
  </si>
  <si>
    <t>Palmer Spirits</t>
  </si>
  <si>
    <t>Cuveco</t>
  </si>
  <si>
    <t>Frankrike</t>
  </si>
  <si>
    <t>Skanlog</t>
  </si>
  <si>
    <t xml:space="preserve">Macallan </t>
  </si>
  <si>
    <t>Macallan Rare Cask</t>
  </si>
  <si>
    <t>Edrington Norway As</t>
  </si>
  <si>
    <t>Mexico</t>
  </si>
  <si>
    <t>USA</t>
  </si>
  <si>
    <t>Vectura</t>
  </si>
  <si>
    <t>Norge</t>
  </si>
  <si>
    <t>Moestue Grape Selections</t>
  </si>
  <si>
    <t>The Kyoto Distillery</t>
  </si>
  <si>
    <t>Japan</t>
  </si>
  <si>
    <t>Gin</t>
  </si>
  <si>
    <t>Pernod Ricard Norway AS</t>
  </si>
  <si>
    <t>Calvados</t>
  </si>
  <si>
    <t>Distillium AS</t>
  </si>
  <si>
    <t>Single Grain Whisky</t>
  </si>
  <si>
    <t>Daracha AS</t>
  </si>
  <si>
    <t>Vinhuset Oslo</t>
  </si>
  <si>
    <t>Four Roses Distillery</t>
  </si>
  <si>
    <t>Four Roses Small Batch 2023 Release - 135th  Anniversary Edition</t>
  </si>
  <si>
    <t>Bourbon</t>
  </si>
  <si>
    <t>Rum &amp; Cane</t>
  </si>
  <si>
    <t>Jamaica 22yo</t>
  </si>
  <si>
    <t>Jamaica</t>
  </si>
  <si>
    <t>Rom</t>
  </si>
  <si>
    <t>Guyana 15 YO</t>
  </si>
  <si>
    <t>Guyana</t>
  </si>
  <si>
    <t>Maison Ferrand</t>
  </si>
  <si>
    <t>Plantation Vintage Barbados 2007</t>
  </si>
  <si>
    <t>Barbados</t>
  </si>
  <si>
    <t>Glen Moray</t>
  </si>
  <si>
    <t>Glen Moray Private Edition: When Scotland meets Spain</t>
  </si>
  <si>
    <t>MARS</t>
  </si>
  <si>
    <t>Mars Tsunuki Edition 2023</t>
  </si>
  <si>
    <t>Kilchoman</t>
  </si>
  <si>
    <t>Kilchoman PX Sherry Cask Matured Single Malt Whisky 50% 70cl</t>
  </si>
  <si>
    <t>Calle 23</t>
  </si>
  <si>
    <t>Calle 23 Blanco Criollo 49,3% 70cl</t>
  </si>
  <si>
    <t>Tequila</t>
  </si>
  <si>
    <t>Michter's</t>
  </si>
  <si>
    <t>Shenk's Homestead 45,6% 70cl</t>
  </si>
  <si>
    <t>Bomberger's Declaration 54% 70cl</t>
  </si>
  <si>
    <t>Loch Lomond Group</t>
  </si>
  <si>
    <t>Loch Lomond 21yo</t>
  </si>
  <si>
    <t>Glen Scotia 18yo</t>
  </si>
  <si>
    <t>Brave New Spirits</t>
  </si>
  <si>
    <t>Ghost Of The Hill (Port Dundas 17yo, 1st Fill Lafite Wine Barrique)</t>
  </si>
  <si>
    <t>Hector's Sound Of Islay (Caol Ila 12yo, 1st Fill Hospice de Nuits Barrique)</t>
  </si>
  <si>
    <t>Det Norske Brenneri AS</t>
  </si>
  <si>
    <t>Eiktyrne Kveik &amp; Malt 36 mnd</t>
  </si>
  <si>
    <t>Echlinville</t>
  </si>
  <si>
    <t>Dunvilles PX 12Yo</t>
  </si>
  <si>
    <t>Nord-Irland</t>
  </si>
  <si>
    <t>Coquerel</t>
  </si>
  <si>
    <t>Pomme d'Eve</t>
  </si>
  <si>
    <t>Hunter Laing</t>
  </si>
  <si>
    <t>Hepburn's Ch. Caol Ila 12yo</t>
  </si>
  <si>
    <t>Hepburn's Ch. Craigellachie 13yo</t>
  </si>
  <si>
    <t>Old Malt Cask Caol Ila 13yo</t>
  </si>
  <si>
    <t>Old Malt Cask Glen Keith 30yo</t>
  </si>
  <si>
    <t>Old Malt Cask Linkwood 13yo</t>
  </si>
  <si>
    <t>Lagavulin Dist.</t>
  </si>
  <si>
    <t>Lagavulin 12YO SR</t>
  </si>
  <si>
    <t>Oban Distillery</t>
  </si>
  <si>
    <t>Oban 11YO SR</t>
  </si>
  <si>
    <t>Glendullan Dist</t>
  </si>
  <si>
    <t>Singelton of Glendullan 14YO SR</t>
  </si>
  <si>
    <t>Talisker Dist.</t>
  </si>
  <si>
    <t>Talisker Special Release</t>
  </si>
  <si>
    <t>Clynelish Dist.</t>
  </si>
  <si>
    <t>Clynelish 10YO SR</t>
  </si>
  <si>
    <t>Glenkinchie Distillery</t>
  </si>
  <si>
    <t>Glenkinchie 27 YO SR </t>
  </si>
  <si>
    <t>Roseisle Distillery</t>
  </si>
  <si>
    <t>Roseisle 12YO SR</t>
  </si>
  <si>
    <t>Cognac Frapin</t>
  </si>
  <si>
    <t>Frapin 15 Years Old</t>
  </si>
  <si>
    <t>Cognac</t>
  </si>
  <si>
    <t>Adelphi</t>
  </si>
  <si>
    <t xml:space="preserve">Caol Ila </t>
  </si>
  <si>
    <t>Ben Nevis</t>
  </si>
  <si>
    <t>Benrinnes</t>
  </si>
  <si>
    <t>Ardnamurchan</t>
  </si>
  <si>
    <t>Clynelish</t>
  </si>
  <si>
    <t>Akkeshi</t>
  </si>
  <si>
    <t xml:space="preserve">North British </t>
  </si>
  <si>
    <t>Grain whisky</t>
  </si>
  <si>
    <t>Imperial</t>
  </si>
  <si>
    <t>Caroni</t>
  </si>
  <si>
    <t>Rom, brun</t>
  </si>
  <si>
    <t>That Boutique-y Whisky Co</t>
  </si>
  <si>
    <t>Blended Grain Whisky 30yo</t>
  </si>
  <si>
    <t>Woven</t>
  </si>
  <si>
    <t>W-project Norway Blend</t>
  </si>
  <si>
    <t>Blended Malt</t>
  </si>
  <si>
    <t>Rum Cask Release</t>
  </si>
  <si>
    <t>J&amp;G Grant</t>
  </si>
  <si>
    <t>Glenfarclas Family Casks 2004 Port Pipe Cask #1106</t>
  </si>
  <si>
    <t>Arran</t>
  </si>
  <si>
    <t>Arran The Signature Series Remnant Renegade</t>
  </si>
  <si>
    <t>Lagg Distillery (Arran)</t>
  </si>
  <si>
    <t>Lagg Heavily Peated Kilmory</t>
  </si>
  <si>
    <t>Åkre gård</t>
  </si>
  <si>
    <t>Løynd Grappa Blaufränkisch Rest</t>
  </si>
  <si>
    <t>Fruktbrennevin</t>
  </si>
  <si>
    <t xml:space="preserve">Glenmorangie </t>
  </si>
  <si>
    <t>Glenmorangie Barrel Select Calvados</t>
  </si>
  <si>
    <t>Hogshead</t>
  </si>
  <si>
    <t>North British 1991 31 yo</t>
  </si>
  <si>
    <t>Miltonduff  2010 13 yo</t>
  </si>
  <si>
    <t>Ki No Bi Kyoto Dry Gin EDITION K - Aged in Kilchoman Peated Single Malt casks</t>
  </si>
  <si>
    <t>Chivas Brothers / Caperdonich Distillery</t>
  </si>
  <si>
    <t>Caperdonich 21 Year Old Peated Single Malt</t>
  </si>
  <si>
    <t>Lindores Abbey</t>
  </si>
  <si>
    <t>The Cask of Lindores II "Bourbon"</t>
  </si>
  <si>
    <t>Thiron Virgin Oak Single Cask Whisky</t>
  </si>
  <si>
    <t>Malt Norge</t>
  </si>
  <si>
    <t>Løiten Brenneri</t>
  </si>
  <si>
    <t>Arcus Norway AS</t>
  </si>
  <si>
    <t>CASK</t>
  </si>
  <si>
    <t>Crafted Brands</t>
  </si>
  <si>
    <t>Det Norske Brenneri</t>
  </si>
  <si>
    <t>Engelstad Spirits AS</t>
  </si>
  <si>
    <t>Good Beverage AS</t>
  </si>
  <si>
    <t>Moet Hennessy Norge</t>
  </si>
  <si>
    <t>Strag AS</t>
  </si>
  <si>
    <t xml:space="preserve">Skanlog </t>
  </si>
  <si>
    <t>vectura</t>
  </si>
  <si>
    <t>Forsinket/lanseres løpende</t>
  </si>
  <si>
    <t>Forsinket i enkelte butikker/Kan avvike i antall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</si>
</sst>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4" formatCode="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-my.sharepoint.com/personal/nicolas_gimle_vinmonopolet_no/Documents/Skrivebord/SAP%20GUI/EXPORTlanseringslisteBrennevin202403.XLSX" TargetMode="External"/><Relationship Id="rId1" Type="http://schemas.openxmlformats.org/officeDocument/2006/relationships/externalLinkPath" Target="https://vmp-my.sharepoint.com/personal/nicolas_gimle_vinmonopolet_no/Documents/Skrivebord/SAP%20GUI/EXPORTlanseringslisteBrennevin2024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.sharepoint.com/sites/Markedogsortiment/Spesialutvalg/Innkj&#248;p%20Spesialutvalget/Lanseringsmapper/2024/202403%20Brennevin/202403%20Arbeidsliste%20Brennevin.xlsx" TargetMode="External"/><Relationship Id="rId1" Type="http://schemas.openxmlformats.org/officeDocument/2006/relationships/externalLinkPath" Target="202403%20Arbeidsliste%20Brennev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Artikkelnr</v>
          </cell>
          <cell r="B1" t="str">
            <v>Løpenr</v>
          </cell>
          <cell r="C1" t="str">
            <v>Artikkelnavn</v>
          </cell>
          <cell r="D1" t="str">
            <v>Korttekst</v>
          </cell>
          <cell r="E1" t="str">
            <v>Bongtekst</v>
          </cell>
          <cell r="F1" t="str">
            <v>Introdato</v>
          </cell>
          <cell r="G1" t="str">
            <v>Utvalg ID</v>
          </cell>
          <cell r="H1" t="str">
            <v>Utvalg</v>
          </cell>
          <cell r="I1" t="str">
            <v>Utvalg fra</v>
          </cell>
          <cell r="J1" t="str">
            <v>Utvalg til</v>
          </cell>
          <cell r="K1" t="str">
            <v>Fredet til</v>
          </cell>
          <cell r="L1" t="str">
            <v>Kategori</v>
          </cell>
          <cell r="M1" t="str">
            <v>Soritmentsnivå L&amp;L</v>
          </cell>
          <cell r="N1" t="str">
            <v>Soritmentsnivå R&amp;M</v>
          </cell>
          <cell r="O1" t="str">
            <v>Fastpris gyldig-til dato</v>
          </cell>
          <cell r="P1" t="str">
            <v>Hovedvaregruppe</v>
          </cell>
          <cell r="Q1" t="str">
            <v>Varegruppe</v>
          </cell>
          <cell r="R1" t="str">
            <v>Subvaregruppe</v>
          </cell>
          <cell r="S1" t="str">
            <v>Varegruppenr</v>
          </cell>
          <cell r="T1" t="str">
            <v>Produktgruppenr</v>
          </cell>
          <cell r="U1" t="str">
            <v>Produktgruppe</v>
          </cell>
          <cell r="V1" t="str">
            <v>Hovedvariant</v>
          </cell>
          <cell r="W1" t="str">
            <v>Årgang</v>
          </cell>
          <cell r="X1" t="str">
            <v>Årgangsstyrt</v>
          </cell>
          <cell r="Y1" t="str">
            <v>Land</v>
          </cell>
          <cell r="Z1" t="str">
            <v>Distrikt</v>
          </cell>
          <cell r="AA1" t="str">
            <v>Underdistrikt</v>
          </cell>
          <cell r="AB1" t="str">
            <v>Kvalitetsbetegnelse</v>
          </cell>
          <cell r="AC1" t="str">
            <v>Lokalt produsert</v>
          </cell>
          <cell r="AD1" t="str">
            <v>Produsentnr</v>
          </cell>
          <cell r="AE1" t="str">
            <v>Produsent</v>
          </cell>
          <cell r="AF1" t="str">
            <v>Farge</v>
          </cell>
          <cell r="AG1" t="str">
            <v>Lukt</v>
          </cell>
          <cell r="AH1" t="str">
            <v>Smak</v>
          </cell>
          <cell r="AI1" t="str">
            <v>Karakteristikk (gml)</v>
          </cell>
          <cell r="AJ1" t="str">
            <v>Produksjonsmetode</v>
          </cell>
          <cell r="AK1" t="str">
            <v>Tilsetningsstoffer</v>
          </cell>
          <cell r="AL1" t="str">
            <v>Allergener</v>
          </cell>
          <cell r="AM1" t="str">
            <v>Ingredienser</v>
          </cell>
          <cell r="AN1" t="str">
            <v>Farge, nn</v>
          </cell>
          <cell r="AO1" t="str">
            <v>Lukt, nn</v>
          </cell>
          <cell r="AP1" t="str">
            <v>Smak, nn</v>
          </cell>
          <cell r="AQ1" t="str">
            <v>Druetype 1</v>
          </cell>
          <cell r="AR1" t="str">
            <v>Druetype 1 %</v>
          </cell>
          <cell r="AS1" t="str">
            <v>Druetype 2</v>
          </cell>
          <cell r="AT1" t="str">
            <v>Druetype 2 %</v>
          </cell>
          <cell r="AU1" t="str">
            <v>Druetype 3</v>
          </cell>
          <cell r="AV1" t="str">
            <v>Druetype 3 %</v>
          </cell>
          <cell r="AW1" t="str">
            <v>Druetype 4</v>
          </cell>
          <cell r="AX1" t="str">
            <v>Druetype 4 %</v>
          </cell>
          <cell r="AY1" t="str">
            <v>Druetype 5</v>
          </cell>
          <cell r="AZ1" t="str">
            <v>Druetype 5 %</v>
          </cell>
          <cell r="BA1" t="str">
            <v>Bitterhet</v>
          </cell>
          <cell r="BB1" t="str">
            <v>Friskhet</v>
          </cell>
          <cell r="BC1" t="str">
            <v>Fylde</v>
          </cell>
          <cell r="BD1" t="str">
            <v>Garvestoffer</v>
          </cell>
          <cell r="BE1" t="str">
            <v>Sødme</v>
          </cell>
          <cell r="BF1" t="str">
            <v>Sukker (g/l)</v>
          </cell>
          <cell r="BG1" t="str">
            <v>Syre (g/l)</v>
          </cell>
          <cell r="BH1" t="str">
            <v>Energi (kcal/100 ml)</v>
          </cell>
          <cell r="BI1" t="str">
            <v>Protein (g/100 ml)</v>
          </cell>
          <cell r="BJ1" t="str">
            <v>Karbohydrater (g/100 ml)</v>
          </cell>
          <cell r="BK1" t="str">
            <v>Fett (g/100 ml)</v>
          </cell>
          <cell r="BL1" t="str">
            <v>Stilgruppe</v>
          </cell>
          <cell r="BM1" t="str">
            <v>Bruksområde 1</v>
          </cell>
          <cell r="BN1" t="str">
            <v>Bruksområde 2</v>
          </cell>
          <cell r="BO1" t="str">
            <v>Bruksområde 3</v>
          </cell>
          <cell r="BP1" t="str">
            <v>KonsumID</v>
          </cell>
          <cell r="BQ1" t="str">
            <v>Søt vin</v>
          </cell>
          <cell r="BR1" t="str">
            <v>Økologisk</v>
          </cell>
          <cell r="BS1" t="str">
            <v>Biodynamisk</v>
          </cell>
          <cell r="BT1" t="str">
            <v>Sertifisert etisk</v>
          </cell>
          <cell r="BU1" t="str">
            <v>Kosher</v>
          </cell>
          <cell r="BV1" t="str">
            <v>Glutenfri</v>
          </cell>
          <cell r="BW1" t="str">
            <v>Ikke tilsatt svovel</v>
          </cell>
          <cell r="BX1" t="str">
            <v>Emballasjetype ID</v>
          </cell>
          <cell r="BY1" t="str">
            <v>Emballasjetype</v>
          </cell>
          <cell r="BZ1" t="str">
            <v>Miljøsmart emballasje</v>
          </cell>
          <cell r="CA1" t="str">
            <v>Emballasjevekt (g)</v>
          </cell>
          <cell r="CB1" t="str">
            <v>Ant. enh. flerfl.</v>
          </cell>
          <cell r="CC1" t="str">
            <v>Lukkemekanisme</v>
          </cell>
          <cell r="CD1" t="str">
            <v>Alkoholprosent</v>
          </cell>
          <cell r="CE1" t="str">
            <v>Volum</v>
          </cell>
          <cell r="CF1" t="str">
            <v>MILJOMERKING</v>
          </cell>
          <cell r="CG1" t="str">
            <v>Volum ID</v>
          </cell>
          <cell r="CH1" t="str">
            <v>DDP pris</v>
          </cell>
          <cell r="CI1" t="str">
            <v>Pris gyldig fra</v>
          </cell>
          <cell r="CJ1" t="str">
            <v>Pris gyldig til</v>
          </cell>
          <cell r="CK1" t="str">
            <v>Salgspris inkl pant</v>
          </cell>
        </row>
        <row r="2">
          <cell r="A2">
            <v>3597401</v>
          </cell>
          <cell r="B2" t="str">
            <v>35974</v>
          </cell>
          <cell r="C2" t="str">
            <v>Macallan Rare Cask</v>
          </cell>
          <cell r="D2" t="str">
            <v>Macallan Rare Cask</v>
          </cell>
          <cell r="E2" t="str">
            <v>Macallan Rare Cask</v>
          </cell>
          <cell r="F2">
            <v>45365</v>
          </cell>
          <cell r="G2" t="str">
            <v>31</v>
          </cell>
          <cell r="H2" t="str">
            <v>Spesialutvalg</v>
          </cell>
          <cell r="I2">
            <v>45329</v>
          </cell>
          <cell r="J2">
            <v>2958465</v>
          </cell>
          <cell r="K2"/>
          <cell r="L2" t="str">
            <v/>
          </cell>
          <cell r="M2" t="str">
            <v/>
          </cell>
          <cell r="N2" t="str">
            <v/>
          </cell>
          <cell r="O2"/>
          <cell r="P2" t="str">
            <v>Brennevin</v>
          </cell>
          <cell r="Q2" t="str">
            <v>Whisky</v>
          </cell>
          <cell r="R2" t="str">
            <v>Whisky, malt</v>
          </cell>
          <cell r="S2" t="str">
            <v>31202</v>
          </cell>
          <cell r="T2" t="str">
            <v>52</v>
          </cell>
          <cell r="U2" t="str">
            <v>Whisky, Skottland, malt</v>
          </cell>
          <cell r="V2" t="str">
            <v>X</v>
          </cell>
          <cell r="W2" t="str">
            <v>2022</v>
          </cell>
          <cell r="X2" t="str">
            <v>X</v>
          </cell>
          <cell r="Y2" t="str">
            <v>Skottland</v>
          </cell>
          <cell r="Z2" t="str">
            <v>Highland</v>
          </cell>
          <cell r="AA2" t="str">
            <v>Øvrige</v>
          </cell>
          <cell r="AB2" t="str">
            <v/>
          </cell>
          <cell r="AC2" t="str">
            <v/>
          </cell>
          <cell r="AD2" t="str">
            <v>65896</v>
          </cell>
          <cell r="AE2" t="str">
            <v>Macallan Dist.</v>
          </cell>
          <cell r="AF2" t="str">
            <v>Rød mahogni.</v>
          </cell>
          <cell r="AG2" t="str">
            <v>Floral, søt sitrus, vanilje, nyhøstet korn. Rosiner, kanel og epler.</v>
          </cell>
          <cell r="AH2" t="str">
            <v>Frisk. Grønne epler og sitron med hint av kanel. Ingefærtoner med fine hint av eik.</v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>Byggmalt</v>
          </cell>
          <cell r="AN2" t="str">
            <v/>
          </cell>
          <cell r="AO2" t="str">
            <v/>
          </cell>
          <cell r="AP2" t="str">
            <v/>
          </cell>
          <cell r="AQ2" t="str">
            <v/>
          </cell>
          <cell r="AR2" t="str">
            <v>0</v>
          </cell>
          <cell r="AS2" t="str">
            <v/>
          </cell>
          <cell r="AT2" t="str">
            <v>0</v>
          </cell>
          <cell r="AU2" t="str">
            <v/>
          </cell>
          <cell r="AV2" t="str">
            <v>0</v>
          </cell>
          <cell r="AW2" t="str">
            <v/>
          </cell>
          <cell r="AX2" t="str">
            <v>0</v>
          </cell>
          <cell r="AY2" t="str">
            <v/>
          </cell>
          <cell r="AZ2" t="str">
            <v>0</v>
          </cell>
          <cell r="BA2" t="str">
            <v/>
          </cell>
          <cell r="BB2" t="str">
            <v/>
          </cell>
          <cell r="BC2" t="str">
            <v/>
          </cell>
          <cell r="BD2" t="str">
            <v/>
          </cell>
          <cell r="BE2" t="str">
            <v/>
          </cell>
          <cell r="BF2" t="str">
            <v>0,0</v>
          </cell>
          <cell r="BG2" t="str">
            <v/>
          </cell>
          <cell r="BH2" t="str">
            <v/>
          </cell>
          <cell r="BI2" t="str">
            <v/>
          </cell>
          <cell r="BJ2" t="str">
            <v/>
          </cell>
          <cell r="BK2" t="str">
            <v/>
          </cell>
          <cell r="BL2" t="str">
            <v/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/>
          </cell>
          <cell r="BR2" t="str">
            <v/>
          </cell>
          <cell r="BS2" t="str">
            <v/>
          </cell>
          <cell r="BT2" t="str">
            <v/>
          </cell>
          <cell r="BU2" t="str">
            <v/>
          </cell>
          <cell r="BV2" t="str">
            <v/>
          </cell>
          <cell r="BW2" t="str">
            <v/>
          </cell>
          <cell r="BX2" t="str">
            <v>03</v>
          </cell>
          <cell r="BY2" t="str">
            <v>Glass</v>
          </cell>
          <cell r="BZ2" t="str">
            <v/>
          </cell>
          <cell r="CA2">
            <v>676</v>
          </cell>
          <cell r="CB2" t="str">
            <v>1</v>
          </cell>
          <cell r="CC2" t="str">
            <v/>
          </cell>
          <cell r="CD2">
            <v>43</v>
          </cell>
          <cell r="CE2">
            <v>0.7</v>
          </cell>
          <cell r="CF2" t="str">
            <v/>
          </cell>
          <cell r="CG2" t="str">
            <v>01</v>
          </cell>
          <cell r="CH2" t="str">
            <v>3389,60</v>
          </cell>
          <cell r="CI2">
            <v>45329</v>
          </cell>
          <cell r="CJ2">
            <v>2958465</v>
          </cell>
          <cell r="CK2">
            <v>3699.9</v>
          </cell>
        </row>
        <row r="3">
          <cell r="A3">
            <v>12434901</v>
          </cell>
          <cell r="B3" t="str">
            <v/>
          </cell>
          <cell r="C3" t="str">
            <v>Michter's Bomberger's Declaration Bourbon</v>
          </cell>
          <cell r="D3" t="str">
            <v>Michter's Bomberger's Declaration</v>
          </cell>
          <cell r="E3" t="str">
            <v>Michter's Bomberger's Declaration</v>
          </cell>
          <cell r="F3">
            <v>45365</v>
          </cell>
          <cell r="G3" t="str">
            <v>31</v>
          </cell>
          <cell r="H3" t="str">
            <v>Spesialutvalg</v>
          </cell>
          <cell r="I3">
            <v>45330</v>
          </cell>
          <cell r="J3">
            <v>2958465</v>
          </cell>
          <cell r="K3"/>
          <cell r="L3" t="str">
            <v/>
          </cell>
          <cell r="M3" t="str">
            <v/>
          </cell>
          <cell r="N3" t="str">
            <v/>
          </cell>
          <cell r="O3"/>
          <cell r="P3" t="str">
            <v>Brennevin</v>
          </cell>
          <cell r="Q3" t="str">
            <v>Whisky</v>
          </cell>
          <cell r="R3" t="str">
            <v>Whisky, annen</v>
          </cell>
          <cell r="S3" t="str">
            <v>31201</v>
          </cell>
          <cell r="T3" t="str">
            <v>54</v>
          </cell>
          <cell r="U3" t="str">
            <v>Whiskey, USA, annen</v>
          </cell>
          <cell r="V3" t="str">
            <v>X</v>
          </cell>
          <cell r="W3" t="str">
            <v>0</v>
          </cell>
          <cell r="X3" t="str">
            <v/>
          </cell>
          <cell r="Y3" t="str">
            <v>USA</v>
          </cell>
          <cell r="Z3" t="str">
            <v>Kentucky</v>
          </cell>
          <cell r="AA3" t="str">
            <v>Øvrige</v>
          </cell>
          <cell r="AB3" t="str">
            <v/>
          </cell>
          <cell r="AC3" t="str">
            <v/>
          </cell>
          <cell r="AD3" t="str">
            <v>602416</v>
          </cell>
          <cell r="AE3" t="str">
            <v>Michter's Distillery</v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  <cell r="AP3" t="str">
            <v/>
          </cell>
          <cell r="AQ3" t="str">
            <v/>
          </cell>
          <cell r="AR3" t="str">
            <v>0</v>
          </cell>
          <cell r="AS3" t="str">
            <v/>
          </cell>
          <cell r="AT3" t="str">
            <v>0</v>
          </cell>
          <cell r="AU3" t="str">
            <v/>
          </cell>
          <cell r="AV3" t="str">
            <v>0</v>
          </cell>
          <cell r="AW3" t="str">
            <v/>
          </cell>
          <cell r="AX3" t="str">
            <v>0</v>
          </cell>
          <cell r="AY3" t="str">
            <v/>
          </cell>
          <cell r="AZ3" t="str">
            <v>0</v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>0</v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>03</v>
          </cell>
          <cell r="BY3" t="str">
            <v>Glass</v>
          </cell>
          <cell r="BZ3" t="str">
            <v/>
          </cell>
          <cell r="CA3">
            <v>0</v>
          </cell>
          <cell r="CB3" t="str">
            <v>1</v>
          </cell>
          <cell r="CC3" t="str">
            <v/>
          </cell>
          <cell r="CD3">
            <v>54</v>
          </cell>
          <cell r="CE3">
            <v>0.7</v>
          </cell>
          <cell r="CF3" t="str">
            <v/>
          </cell>
          <cell r="CG3" t="str">
            <v>01</v>
          </cell>
          <cell r="CH3" t="str">
            <v>1862,44</v>
          </cell>
          <cell r="CI3">
            <v>45330</v>
          </cell>
          <cell r="CJ3">
            <v>2958465</v>
          </cell>
          <cell r="CK3">
            <v>2030.9</v>
          </cell>
        </row>
        <row r="4">
          <cell r="A4">
            <v>12435001</v>
          </cell>
          <cell r="B4" t="str">
            <v/>
          </cell>
          <cell r="C4" t="str">
            <v>Michter's Shenk's Homestead Sour Mash Whiskey</v>
          </cell>
          <cell r="D4" t="str">
            <v>Michter's Shenk's Homestead Sour Mash</v>
          </cell>
          <cell r="E4" t="str">
            <v>Michter's Shenk's Homestead Sour Mash</v>
          </cell>
          <cell r="F4">
            <v>45365</v>
          </cell>
          <cell r="G4" t="str">
            <v>31</v>
          </cell>
          <cell r="H4" t="str">
            <v>Spesialutvalg</v>
          </cell>
          <cell r="I4">
            <v>45330</v>
          </cell>
          <cell r="J4">
            <v>2958465</v>
          </cell>
          <cell r="K4"/>
          <cell r="L4" t="str">
            <v/>
          </cell>
          <cell r="M4" t="str">
            <v/>
          </cell>
          <cell r="N4" t="str">
            <v/>
          </cell>
          <cell r="O4"/>
          <cell r="P4" t="str">
            <v>Brennevin</v>
          </cell>
          <cell r="Q4" t="str">
            <v>Whisky</v>
          </cell>
          <cell r="R4" t="str">
            <v>Whisky, annen</v>
          </cell>
          <cell r="S4" t="str">
            <v>31201</v>
          </cell>
          <cell r="T4" t="str">
            <v>54</v>
          </cell>
          <cell r="U4" t="str">
            <v>Whiskey, USA, annen</v>
          </cell>
          <cell r="V4" t="str">
            <v>X</v>
          </cell>
          <cell r="W4" t="str">
            <v>0</v>
          </cell>
          <cell r="X4" t="str">
            <v/>
          </cell>
          <cell r="Y4" t="str">
            <v>USA</v>
          </cell>
          <cell r="Z4" t="str">
            <v>Kentucky</v>
          </cell>
          <cell r="AA4" t="str">
            <v>Øvrige</v>
          </cell>
          <cell r="AB4" t="str">
            <v/>
          </cell>
          <cell r="AC4" t="str">
            <v/>
          </cell>
          <cell r="AD4" t="str">
            <v>602416</v>
          </cell>
          <cell r="AE4" t="str">
            <v>Michter's Distillery</v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/>
          </cell>
          <cell r="AM4" t="str">
            <v/>
          </cell>
          <cell r="AN4" t="str">
            <v/>
          </cell>
          <cell r="AO4" t="str">
            <v/>
          </cell>
          <cell r="AP4" t="str">
            <v/>
          </cell>
          <cell r="AQ4" t="str">
            <v/>
          </cell>
          <cell r="AR4" t="str">
            <v>0</v>
          </cell>
          <cell r="AS4" t="str">
            <v/>
          </cell>
          <cell r="AT4" t="str">
            <v>0</v>
          </cell>
          <cell r="AU4" t="str">
            <v/>
          </cell>
          <cell r="AV4" t="str">
            <v>0</v>
          </cell>
          <cell r="AW4" t="str">
            <v/>
          </cell>
          <cell r="AX4" t="str">
            <v>0</v>
          </cell>
          <cell r="AY4" t="str">
            <v/>
          </cell>
          <cell r="AZ4" t="str">
            <v>0</v>
          </cell>
          <cell r="BA4" t="str">
            <v/>
          </cell>
          <cell r="BB4" t="str">
            <v/>
          </cell>
          <cell r="BC4" t="str">
            <v/>
          </cell>
          <cell r="BD4" t="str">
            <v/>
          </cell>
          <cell r="BE4" t="str">
            <v/>
          </cell>
          <cell r="BF4" t="str">
            <v>0</v>
          </cell>
          <cell r="BG4" t="str">
            <v/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>03</v>
          </cell>
          <cell r="BY4" t="str">
            <v>Glass</v>
          </cell>
          <cell r="BZ4" t="str">
            <v/>
          </cell>
          <cell r="CA4">
            <v>676</v>
          </cell>
          <cell r="CB4" t="str">
            <v>1</v>
          </cell>
          <cell r="CC4" t="str">
            <v/>
          </cell>
          <cell r="CD4">
            <v>45.6</v>
          </cell>
          <cell r="CE4">
            <v>0.7</v>
          </cell>
          <cell r="CF4" t="str">
            <v/>
          </cell>
          <cell r="CG4" t="str">
            <v>01</v>
          </cell>
          <cell r="CH4" t="str">
            <v>1690,89</v>
          </cell>
          <cell r="CI4">
            <v>45330</v>
          </cell>
          <cell r="CJ4">
            <v>2958465</v>
          </cell>
          <cell r="CK4">
            <v>1849.9</v>
          </cell>
        </row>
        <row r="5">
          <cell r="A5">
            <v>13173801</v>
          </cell>
          <cell r="B5" t="str">
            <v/>
          </cell>
          <cell r="C5" t="str">
            <v>Calle 23 Blanco Criollo</v>
          </cell>
          <cell r="D5" t="str">
            <v>Calle 23 Blanco Criollo</v>
          </cell>
          <cell r="E5" t="str">
            <v>Calle 23 Blanco Criollo</v>
          </cell>
          <cell r="F5">
            <v>45365</v>
          </cell>
          <cell r="G5" t="str">
            <v>31</v>
          </cell>
          <cell r="H5" t="str">
            <v>Spesialutvalg</v>
          </cell>
          <cell r="I5">
            <v>45330</v>
          </cell>
          <cell r="J5">
            <v>2958465</v>
          </cell>
          <cell r="K5"/>
          <cell r="L5" t="str">
            <v/>
          </cell>
          <cell r="M5" t="str">
            <v/>
          </cell>
          <cell r="N5" t="str">
            <v/>
          </cell>
          <cell r="O5"/>
          <cell r="P5" t="str">
            <v>Brennevin</v>
          </cell>
          <cell r="Q5" t="str">
            <v>Fruktbrennevin</v>
          </cell>
          <cell r="R5" t="str">
            <v>Tequila</v>
          </cell>
          <cell r="S5" t="str">
            <v>30503</v>
          </cell>
          <cell r="T5" t="str">
            <v>81</v>
          </cell>
          <cell r="U5" t="str">
            <v>Tequila og mezcal</v>
          </cell>
          <cell r="V5" t="str">
            <v>X</v>
          </cell>
          <cell r="W5" t="str">
            <v>0</v>
          </cell>
          <cell r="X5" t="str">
            <v/>
          </cell>
          <cell r="Y5" t="str">
            <v>Mexico</v>
          </cell>
          <cell r="Z5" t="str">
            <v>Øvrige</v>
          </cell>
          <cell r="AA5" t="str">
            <v>Øvrige</v>
          </cell>
          <cell r="AB5" t="str">
            <v>PDO</v>
          </cell>
          <cell r="AC5" t="str">
            <v/>
          </cell>
          <cell r="AD5" t="str">
            <v>2202745</v>
          </cell>
          <cell r="AE5" t="str">
            <v>Calle 23</v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  <cell r="AL5" t="str">
            <v/>
          </cell>
          <cell r="AM5" t="str">
            <v/>
          </cell>
          <cell r="AN5" t="str">
            <v/>
          </cell>
          <cell r="AO5" t="str">
            <v/>
          </cell>
          <cell r="AP5" t="str">
            <v/>
          </cell>
          <cell r="AQ5" t="str">
            <v/>
          </cell>
          <cell r="AR5" t="str">
            <v>0</v>
          </cell>
          <cell r="AS5" t="str">
            <v/>
          </cell>
          <cell r="AT5" t="str">
            <v>0</v>
          </cell>
          <cell r="AU5" t="str">
            <v/>
          </cell>
          <cell r="AV5" t="str">
            <v>0</v>
          </cell>
          <cell r="AW5" t="str">
            <v/>
          </cell>
          <cell r="AX5" t="str">
            <v>0</v>
          </cell>
          <cell r="AY5" t="str">
            <v/>
          </cell>
          <cell r="AZ5" t="str">
            <v>0</v>
          </cell>
          <cell r="BA5" t="str">
            <v/>
          </cell>
          <cell r="BB5" t="str">
            <v/>
          </cell>
          <cell r="BC5" t="str">
            <v/>
          </cell>
          <cell r="BD5" t="str">
            <v/>
          </cell>
          <cell r="BE5" t="str">
            <v/>
          </cell>
          <cell r="BF5" t="str">
            <v>0,1</v>
          </cell>
          <cell r="BG5" t="str">
            <v/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>03</v>
          </cell>
          <cell r="BY5" t="str">
            <v>Glass</v>
          </cell>
          <cell r="BZ5" t="str">
            <v/>
          </cell>
          <cell r="CA5">
            <v>676</v>
          </cell>
          <cell r="CB5" t="str">
            <v>1</v>
          </cell>
          <cell r="CC5" t="str">
            <v/>
          </cell>
          <cell r="CD5">
            <v>49.3</v>
          </cell>
          <cell r="CE5">
            <v>0.7</v>
          </cell>
          <cell r="CF5" t="str">
            <v/>
          </cell>
          <cell r="CG5" t="str">
            <v>01</v>
          </cell>
          <cell r="CH5" t="str">
            <v>1270,06</v>
          </cell>
          <cell r="CI5">
            <v>45330</v>
          </cell>
          <cell r="CJ5">
            <v>2958465</v>
          </cell>
          <cell r="CK5">
            <v>1389.6</v>
          </cell>
        </row>
        <row r="6">
          <cell r="A6">
            <v>13804501</v>
          </cell>
          <cell r="B6" t="str">
            <v/>
          </cell>
          <cell r="C6" t="str">
            <v>Four Roses Small Batch Limited Edition 2023</v>
          </cell>
          <cell r="D6" t="str">
            <v>Four Roses Small Batch Limited Ed. 2023</v>
          </cell>
          <cell r="E6" t="str">
            <v>Four Roses Small Batch Limited Ed. 2023</v>
          </cell>
          <cell r="F6">
            <v>45365</v>
          </cell>
          <cell r="G6" t="str">
            <v>31</v>
          </cell>
          <cell r="H6" t="str">
            <v>Spesialutvalg</v>
          </cell>
          <cell r="I6">
            <v>45253</v>
          </cell>
          <cell r="J6">
            <v>2958465</v>
          </cell>
          <cell r="K6"/>
          <cell r="L6" t="str">
            <v/>
          </cell>
          <cell r="M6" t="str">
            <v/>
          </cell>
          <cell r="N6" t="str">
            <v/>
          </cell>
          <cell r="O6"/>
          <cell r="P6" t="str">
            <v>Brennevin</v>
          </cell>
          <cell r="Q6" t="str">
            <v>Whisky</v>
          </cell>
          <cell r="R6" t="str">
            <v>Whisky, annen</v>
          </cell>
          <cell r="S6" t="str">
            <v>31201</v>
          </cell>
          <cell r="T6" t="str">
            <v>54</v>
          </cell>
          <cell r="U6" t="str">
            <v>Whiskey, USA, annen</v>
          </cell>
          <cell r="V6" t="str">
            <v>X</v>
          </cell>
          <cell r="W6" t="str">
            <v>0</v>
          </cell>
          <cell r="X6" t="str">
            <v>X</v>
          </cell>
          <cell r="Y6" t="str">
            <v>USA</v>
          </cell>
          <cell r="Z6" t="str">
            <v>Kentucky</v>
          </cell>
          <cell r="AA6" t="str">
            <v>Øvrige</v>
          </cell>
          <cell r="AB6" t="str">
            <v/>
          </cell>
          <cell r="AC6" t="str">
            <v/>
          </cell>
          <cell r="AD6" t="str">
            <v>64540</v>
          </cell>
          <cell r="AE6" t="str">
            <v>Four Roses Dist.</v>
          </cell>
          <cell r="AF6" t="str">
            <v>Rav.</v>
          </cell>
          <cell r="AG6" t="str">
            <v>Toner av modne bår og rik, varm eik.</v>
          </cell>
          <cell r="AH6" t="str">
            <v>Toner av plomme og appelsinskall, krydder. Vaniljekrem og mørk sjokolade i avslutningen.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>Korn</v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>0</v>
          </cell>
          <cell r="AS6" t="str">
            <v/>
          </cell>
          <cell r="AT6" t="str">
            <v>0</v>
          </cell>
          <cell r="AU6" t="str">
            <v/>
          </cell>
          <cell r="AV6" t="str">
            <v>0</v>
          </cell>
          <cell r="AW6" t="str">
            <v/>
          </cell>
          <cell r="AX6" t="str">
            <v>0</v>
          </cell>
          <cell r="AY6" t="str">
            <v/>
          </cell>
          <cell r="AZ6" t="str">
            <v>0</v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>0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>03</v>
          </cell>
          <cell r="BY6" t="str">
            <v>Glass</v>
          </cell>
          <cell r="BZ6" t="str">
            <v/>
          </cell>
          <cell r="CA6">
            <v>750</v>
          </cell>
          <cell r="CB6" t="str">
            <v>1</v>
          </cell>
          <cell r="CC6" t="str">
            <v/>
          </cell>
          <cell r="CD6">
            <v>54</v>
          </cell>
          <cell r="CE6">
            <v>0.7</v>
          </cell>
          <cell r="CF6" t="str">
            <v/>
          </cell>
          <cell r="CG6" t="str">
            <v>01</v>
          </cell>
          <cell r="CH6" t="str">
            <v>2017,55</v>
          </cell>
          <cell r="CI6">
            <v>45292</v>
          </cell>
          <cell r="CJ6">
            <v>2958465</v>
          </cell>
          <cell r="CK6">
            <v>2199.6999999999998</v>
          </cell>
        </row>
        <row r="7">
          <cell r="A7">
            <v>14046301</v>
          </cell>
          <cell r="B7" t="str">
            <v/>
          </cell>
          <cell r="C7" t="str">
            <v>Caperdonich 21 Year Old Peated Single Malt</v>
          </cell>
          <cell r="D7" t="str">
            <v>Caperdonich 21 YO Peated Single Malt</v>
          </cell>
          <cell r="E7" t="str">
            <v>Caperdonich 21 YO Peated Single Malt</v>
          </cell>
          <cell r="F7">
            <v>45365</v>
          </cell>
          <cell r="G7" t="str">
            <v>31</v>
          </cell>
          <cell r="H7" t="str">
            <v>Spesialutvalg</v>
          </cell>
          <cell r="I7">
            <v>45328</v>
          </cell>
          <cell r="J7">
            <v>2958465</v>
          </cell>
          <cell r="K7"/>
          <cell r="L7" t="str">
            <v/>
          </cell>
          <cell r="M7" t="str">
            <v/>
          </cell>
          <cell r="N7" t="str">
            <v/>
          </cell>
          <cell r="O7"/>
          <cell r="P7" t="str">
            <v>Brennevin</v>
          </cell>
          <cell r="Q7" t="str">
            <v>Whisky</v>
          </cell>
          <cell r="R7" t="str">
            <v>Whisky, malt</v>
          </cell>
          <cell r="S7" t="str">
            <v>31202</v>
          </cell>
          <cell r="T7" t="str">
            <v>52</v>
          </cell>
          <cell r="U7" t="str">
            <v>Whisky, Skottland, malt</v>
          </cell>
          <cell r="V7" t="str">
            <v>X</v>
          </cell>
          <cell r="W7" t="str">
            <v>0</v>
          </cell>
          <cell r="X7" t="str">
            <v/>
          </cell>
          <cell r="Y7" t="str">
            <v>Skottland</v>
          </cell>
          <cell r="Z7" t="str">
            <v>Speyside</v>
          </cell>
          <cell r="AA7" t="str">
            <v/>
          </cell>
          <cell r="AB7" t="str">
            <v/>
          </cell>
          <cell r="AC7" t="str">
            <v/>
          </cell>
          <cell r="AD7" t="str">
            <v>67099</v>
          </cell>
          <cell r="AE7" t="str">
            <v>Chivas Brothers</v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>0</v>
          </cell>
          <cell r="AS7" t="str">
            <v/>
          </cell>
          <cell r="AT7" t="str">
            <v>0</v>
          </cell>
          <cell r="AU7" t="str">
            <v/>
          </cell>
          <cell r="AV7" t="str">
            <v>0</v>
          </cell>
          <cell r="AW7" t="str">
            <v/>
          </cell>
          <cell r="AX7" t="str">
            <v>0</v>
          </cell>
          <cell r="AY7" t="str">
            <v/>
          </cell>
          <cell r="AZ7" t="str">
            <v>0</v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>0</v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>03</v>
          </cell>
          <cell r="BY7" t="str">
            <v>Glass</v>
          </cell>
          <cell r="BZ7" t="str">
            <v/>
          </cell>
          <cell r="CA7">
            <v>676</v>
          </cell>
          <cell r="CB7" t="str">
            <v>1</v>
          </cell>
          <cell r="CC7" t="str">
            <v/>
          </cell>
          <cell r="CD7">
            <v>48</v>
          </cell>
          <cell r="CE7">
            <v>0.7</v>
          </cell>
          <cell r="CF7" t="str">
            <v/>
          </cell>
          <cell r="CG7" t="str">
            <v>01</v>
          </cell>
          <cell r="CH7" t="str">
            <v>2261,37</v>
          </cell>
          <cell r="CI7">
            <v>45328</v>
          </cell>
          <cell r="CJ7">
            <v>2958465</v>
          </cell>
          <cell r="CK7">
            <v>2469</v>
          </cell>
        </row>
        <row r="8">
          <cell r="A8">
            <v>14953702</v>
          </cell>
          <cell r="B8" t="str">
            <v/>
          </cell>
          <cell r="C8" t="str">
            <v>Åkre Gård Løynd Grappa Blaufränkisch Rest</v>
          </cell>
          <cell r="D8" t="str">
            <v>Åkre Gård Løynd Grappa Blaufränkisch</v>
          </cell>
          <cell r="E8" t="str">
            <v>Åkre Gård Løynd Grappa Blaufränkisch</v>
          </cell>
          <cell r="F8">
            <v>45365</v>
          </cell>
          <cell r="G8" t="str">
            <v>31</v>
          </cell>
          <cell r="H8" t="str">
            <v>Spesialutvalg</v>
          </cell>
          <cell r="I8">
            <v>45329</v>
          </cell>
          <cell r="J8">
            <v>2958465</v>
          </cell>
          <cell r="K8"/>
          <cell r="L8" t="str">
            <v/>
          </cell>
          <cell r="M8" t="str">
            <v/>
          </cell>
          <cell r="N8" t="str">
            <v/>
          </cell>
          <cell r="O8"/>
          <cell r="P8" t="str">
            <v>Brennevin</v>
          </cell>
          <cell r="Q8" t="str">
            <v>Druebrennevin</v>
          </cell>
          <cell r="R8" t="str">
            <v>Grappa</v>
          </cell>
          <cell r="S8" t="str">
            <v>30402</v>
          </cell>
          <cell r="T8" t="str">
            <v>47</v>
          </cell>
          <cell r="U8" t="str">
            <v>Druebrennevin</v>
          </cell>
          <cell r="V8" t="str">
            <v>X</v>
          </cell>
          <cell r="W8" t="str">
            <v>0</v>
          </cell>
          <cell r="X8" t="str">
            <v/>
          </cell>
          <cell r="Y8" t="str">
            <v>Norge</v>
          </cell>
          <cell r="Z8" t="str">
            <v>Vestland</v>
          </cell>
          <cell r="AA8" t="str">
            <v>Ullensvang</v>
          </cell>
          <cell r="AB8" t="str">
            <v/>
          </cell>
          <cell r="AC8" t="str">
            <v/>
          </cell>
          <cell r="AD8" t="str">
            <v>601711</v>
          </cell>
          <cell r="AE8" t="str">
            <v>Åkre Gard</v>
          </cell>
          <cell r="AF8" t="str">
            <v>Blank.</v>
          </cell>
          <cell r="AG8" t="str">
            <v>Krydder, Sjokolade, mørke bær.</v>
          </cell>
          <cell r="AH8" t="str">
            <v>Krydder, Sjokolade, mørke bær.</v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>Pressrester (Blaufrankisch)</v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>0</v>
          </cell>
          <cell r="AS8" t="str">
            <v/>
          </cell>
          <cell r="AT8" t="str">
            <v>0</v>
          </cell>
          <cell r="AU8" t="str">
            <v/>
          </cell>
          <cell r="AV8" t="str">
            <v>0</v>
          </cell>
          <cell r="AW8" t="str">
            <v/>
          </cell>
          <cell r="AX8" t="str">
            <v>0</v>
          </cell>
          <cell r="AY8" t="str">
            <v/>
          </cell>
          <cell r="AZ8" t="str">
            <v>0</v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>0</v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>03</v>
          </cell>
          <cell r="BY8" t="str">
            <v>Glass</v>
          </cell>
          <cell r="BZ8" t="str">
            <v/>
          </cell>
          <cell r="CA8">
            <v>500</v>
          </cell>
          <cell r="CB8" t="str">
            <v>1</v>
          </cell>
          <cell r="CC8" t="str">
            <v>01</v>
          </cell>
          <cell r="CD8">
            <v>43</v>
          </cell>
          <cell r="CE8">
            <v>0.5</v>
          </cell>
          <cell r="CF8" t="str">
            <v/>
          </cell>
          <cell r="CG8" t="str">
            <v>02</v>
          </cell>
          <cell r="CH8" t="str">
            <v>631,19</v>
          </cell>
          <cell r="CI8">
            <v>45329</v>
          </cell>
          <cell r="CJ8">
            <v>2958465</v>
          </cell>
          <cell r="CK8">
            <v>699</v>
          </cell>
        </row>
        <row r="9">
          <cell r="A9">
            <v>16640801</v>
          </cell>
          <cell r="B9" t="str">
            <v/>
          </cell>
          <cell r="C9" t="str">
            <v>Rum &amp; Cane Jamaica 22 YO</v>
          </cell>
          <cell r="D9" t="str">
            <v>Rum &amp; Cane Jamaica 22 YO</v>
          </cell>
          <cell r="E9" t="str">
            <v>Rum &amp; Cane Jamaica 22 YO</v>
          </cell>
          <cell r="F9">
            <v>45365</v>
          </cell>
          <cell r="G9" t="str">
            <v>31</v>
          </cell>
          <cell r="H9" t="str">
            <v>Spesialutvalg</v>
          </cell>
          <cell r="I9">
            <v>45253</v>
          </cell>
          <cell r="J9">
            <v>2958465</v>
          </cell>
          <cell r="K9"/>
          <cell r="L9" t="str">
            <v/>
          </cell>
          <cell r="M9" t="str">
            <v/>
          </cell>
          <cell r="N9" t="str">
            <v/>
          </cell>
          <cell r="O9"/>
          <cell r="P9" t="str">
            <v>Brennevin</v>
          </cell>
          <cell r="Q9" t="str">
            <v>Rom</v>
          </cell>
          <cell r="R9" t="str">
            <v>Rom, brun</v>
          </cell>
          <cell r="S9" t="str">
            <v>31001</v>
          </cell>
          <cell r="T9" t="str">
            <v>64</v>
          </cell>
          <cell r="U9" t="str">
            <v>Rom og cachaca, brun</v>
          </cell>
          <cell r="V9" t="str">
            <v>X</v>
          </cell>
          <cell r="W9" t="str">
            <v>0</v>
          </cell>
          <cell r="X9" t="str">
            <v/>
          </cell>
          <cell r="Y9" t="str">
            <v>Jamaica</v>
          </cell>
          <cell r="Z9" t="str">
            <v>Øvrige</v>
          </cell>
          <cell r="AA9" t="str">
            <v>Øvrige</v>
          </cell>
          <cell r="AB9" t="str">
            <v/>
          </cell>
          <cell r="AC9" t="str">
            <v/>
          </cell>
          <cell r="AD9" t="str">
            <v>2568720</v>
          </cell>
          <cell r="AE9" t="str">
            <v>LDC Scotland Ltd T/A Crucial Drinks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>0</v>
          </cell>
          <cell r="AS9" t="str">
            <v/>
          </cell>
          <cell r="AT9" t="str">
            <v>0</v>
          </cell>
          <cell r="AU9" t="str">
            <v/>
          </cell>
          <cell r="AV9" t="str">
            <v>0</v>
          </cell>
          <cell r="AW9" t="str">
            <v/>
          </cell>
          <cell r="AX9" t="str">
            <v>0</v>
          </cell>
          <cell r="AY9" t="str">
            <v/>
          </cell>
          <cell r="AZ9" t="str">
            <v>0</v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>0</v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>03</v>
          </cell>
          <cell r="BY9" t="str">
            <v>Glass</v>
          </cell>
          <cell r="BZ9" t="str">
            <v/>
          </cell>
          <cell r="CA9">
            <v>0</v>
          </cell>
          <cell r="CB9" t="str">
            <v>1</v>
          </cell>
          <cell r="CC9" t="str">
            <v/>
          </cell>
          <cell r="CD9">
            <v>52.1</v>
          </cell>
          <cell r="CE9">
            <v>0.7</v>
          </cell>
          <cell r="CF9" t="str">
            <v/>
          </cell>
          <cell r="CG9" t="str">
            <v>01</v>
          </cell>
          <cell r="CH9" t="str">
            <v>2114,88</v>
          </cell>
          <cell r="CI9">
            <v>45349</v>
          </cell>
          <cell r="CJ9">
            <v>2958465</v>
          </cell>
          <cell r="CK9">
            <v>2306.9</v>
          </cell>
        </row>
        <row r="10">
          <cell r="A10">
            <v>16640901</v>
          </cell>
          <cell r="B10" t="str">
            <v/>
          </cell>
          <cell r="C10" t="str">
            <v>Rum &amp; Cane Guyana 15YO</v>
          </cell>
          <cell r="D10" t="str">
            <v>Rum &amp; Cane Guyana 15YO</v>
          </cell>
          <cell r="E10" t="str">
            <v>Rum &amp; Cane Guyana 15YO</v>
          </cell>
          <cell r="F10">
            <v>45365</v>
          </cell>
          <cell r="G10" t="str">
            <v>31</v>
          </cell>
          <cell r="H10" t="str">
            <v>Spesialutvalg</v>
          </cell>
          <cell r="I10">
            <v>45253</v>
          </cell>
          <cell r="J10">
            <v>2958465</v>
          </cell>
          <cell r="K10"/>
          <cell r="L10" t="str">
            <v/>
          </cell>
          <cell r="M10" t="str">
            <v/>
          </cell>
          <cell r="N10" t="str">
            <v/>
          </cell>
          <cell r="O10"/>
          <cell r="P10" t="str">
            <v>Brennevin</v>
          </cell>
          <cell r="Q10" t="str">
            <v>Rom</v>
          </cell>
          <cell r="R10" t="str">
            <v>Rom, brun</v>
          </cell>
          <cell r="S10" t="str">
            <v>31001</v>
          </cell>
          <cell r="T10" t="str">
            <v>64</v>
          </cell>
          <cell r="U10" t="str">
            <v>Rom og cachaca, brun</v>
          </cell>
          <cell r="V10" t="str">
            <v>X</v>
          </cell>
          <cell r="W10" t="str">
            <v>0</v>
          </cell>
          <cell r="X10" t="str">
            <v/>
          </cell>
          <cell r="Y10" t="str">
            <v>Guyana</v>
          </cell>
          <cell r="Z10" t="str">
            <v>Øvrige</v>
          </cell>
          <cell r="AA10" t="str">
            <v/>
          </cell>
          <cell r="AB10" t="str">
            <v/>
          </cell>
          <cell r="AC10" t="str">
            <v/>
          </cell>
          <cell r="AD10" t="str">
            <v>2568720</v>
          </cell>
          <cell r="AE10" t="str">
            <v>LDC Scotland Ltd T/A Crucial Drinks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>0</v>
          </cell>
          <cell r="AS10" t="str">
            <v/>
          </cell>
          <cell r="AT10" t="str">
            <v>0</v>
          </cell>
          <cell r="AU10" t="str">
            <v/>
          </cell>
          <cell r="AV10" t="str">
            <v>0</v>
          </cell>
          <cell r="AW10" t="str">
            <v/>
          </cell>
          <cell r="AX10" t="str">
            <v>0</v>
          </cell>
          <cell r="AY10" t="str">
            <v/>
          </cell>
          <cell r="AZ10" t="str">
            <v>0</v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>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>03</v>
          </cell>
          <cell r="BY10" t="str">
            <v>Glass</v>
          </cell>
          <cell r="BZ10" t="str">
            <v/>
          </cell>
          <cell r="CA10">
            <v>0</v>
          </cell>
          <cell r="CB10" t="str">
            <v>1</v>
          </cell>
          <cell r="CC10" t="str">
            <v/>
          </cell>
          <cell r="CD10">
            <v>47.2</v>
          </cell>
          <cell r="CE10">
            <v>0.7</v>
          </cell>
          <cell r="CF10" t="str">
            <v/>
          </cell>
          <cell r="CG10" t="str">
            <v>01</v>
          </cell>
          <cell r="CH10" t="str">
            <v>1079,88</v>
          </cell>
          <cell r="CI10">
            <v>45349</v>
          </cell>
          <cell r="CJ10">
            <v>2958465</v>
          </cell>
          <cell r="CK10">
            <v>1184.0999999999999</v>
          </cell>
        </row>
        <row r="11">
          <cell r="A11">
            <v>16755301</v>
          </cell>
          <cell r="B11" t="str">
            <v/>
          </cell>
          <cell r="C11" t="str">
            <v>Lagg Heavily Peated Kilmory</v>
          </cell>
          <cell r="D11" t="str">
            <v>Lagg Heavily Peated Kilmory</v>
          </cell>
          <cell r="E11" t="str">
            <v>Lagg Heavily Peated Kilmory</v>
          </cell>
          <cell r="F11">
            <v>45365</v>
          </cell>
          <cell r="G11" t="str">
            <v>31</v>
          </cell>
          <cell r="H11" t="str">
            <v>Spesialutvalg</v>
          </cell>
          <cell r="I11">
            <v>45331</v>
          </cell>
          <cell r="J11">
            <v>2958465</v>
          </cell>
          <cell r="K11"/>
          <cell r="L11" t="str">
            <v/>
          </cell>
          <cell r="M11" t="str">
            <v/>
          </cell>
          <cell r="N11" t="str">
            <v/>
          </cell>
          <cell r="O11"/>
          <cell r="P11" t="str">
            <v>Brennevin</v>
          </cell>
          <cell r="Q11" t="str">
            <v>Whisky</v>
          </cell>
          <cell r="R11" t="str">
            <v>Whisky, malt</v>
          </cell>
          <cell r="S11" t="str">
            <v>31202</v>
          </cell>
          <cell r="T11" t="str">
            <v>52</v>
          </cell>
          <cell r="U11" t="str">
            <v>Whisky, Skottland, malt</v>
          </cell>
          <cell r="V11" t="str">
            <v>X</v>
          </cell>
          <cell r="W11" t="str">
            <v>0</v>
          </cell>
          <cell r="X11" t="str">
            <v/>
          </cell>
          <cell r="Y11" t="str">
            <v>Skottland</v>
          </cell>
          <cell r="Z11" t="str">
            <v>Arran</v>
          </cell>
          <cell r="AA11" t="str">
            <v/>
          </cell>
          <cell r="AB11" t="str">
            <v/>
          </cell>
          <cell r="AC11" t="str">
            <v/>
          </cell>
          <cell r="AD11" t="str">
            <v>61472</v>
          </cell>
          <cell r="AE11" t="str">
            <v>Isle of Arran Dist.</v>
          </cell>
          <cell r="AF11" t="str">
            <v>Middels dyp gyllen.</v>
          </cell>
          <cell r="AG11" t="str">
            <v>Intens og delikat med røyk, sitrus, eple, sjø og krydder.</v>
          </cell>
          <cell r="AH11" t="str">
            <v>Røyk, sitrus, korn, sjø, lyng, eple, krydder, fin fedme og lang ettersmak.</v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>100 % maltet bygg</v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>0</v>
          </cell>
          <cell r="AS11" t="str">
            <v/>
          </cell>
          <cell r="AT11" t="str">
            <v>0</v>
          </cell>
          <cell r="AU11" t="str">
            <v/>
          </cell>
          <cell r="AV11" t="str">
            <v>0</v>
          </cell>
          <cell r="AW11" t="str">
            <v/>
          </cell>
          <cell r="AX11" t="str">
            <v>0</v>
          </cell>
          <cell r="AY11" t="str">
            <v/>
          </cell>
          <cell r="AZ11" t="str">
            <v>0</v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>0,1</v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>03</v>
          </cell>
          <cell r="BY11" t="str">
            <v>Glass</v>
          </cell>
          <cell r="BZ11" t="str">
            <v/>
          </cell>
          <cell r="CA11">
            <v>950</v>
          </cell>
          <cell r="CB11" t="str">
            <v>1</v>
          </cell>
          <cell r="CC11" t="str">
            <v/>
          </cell>
          <cell r="CD11">
            <v>46</v>
          </cell>
          <cell r="CE11">
            <v>0.7</v>
          </cell>
          <cell r="CF11" t="str">
            <v/>
          </cell>
          <cell r="CG11" t="str">
            <v>01</v>
          </cell>
          <cell r="CH11" t="str">
            <v>872,30</v>
          </cell>
          <cell r="CI11">
            <v>45331</v>
          </cell>
          <cell r="CJ11">
            <v>2958465</v>
          </cell>
          <cell r="CK11">
            <v>959</v>
          </cell>
        </row>
        <row r="12">
          <cell r="A12">
            <v>17021201</v>
          </cell>
          <cell r="B12" t="str">
            <v/>
          </cell>
          <cell r="C12" t="str">
            <v>Glen Scotia 18YO</v>
          </cell>
          <cell r="D12" t="str">
            <v>Glen Scotia 18YO</v>
          </cell>
          <cell r="E12" t="str">
            <v>Glen Scotia 18YO</v>
          </cell>
          <cell r="F12">
            <v>45365</v>
          </cell>
          <cell r="G12" t="str">
            <v>31</v>
          </cell>
          <cell r="H12" t="str">
            <v>Spesialutvalg</v>
          </cell>
          <cell r="I12">
            <v>45328</v>
          </cell>
          <cell r="J12">
            <v>2958465</v>
          </cell>
          <cell r="K12"/>
          <cell r="L12" t="str">
            <v/>
          </cell>
          <cell r="M12" t="str">
            <v/>
          </cell>
          <cell r="N12" t="str">
            <v/>
          </cell>
          <cell r="O12"/>
          <cell r="P12" t="str">
            <v>Brennevin</v>
          </cell>
          <cell r="Q12" t="str">
            <v>Whisky</v>
          </cell>
          <cell r="R12" t="str">
            <v>Whisky, malt</v>
          </cell>
          <cell r="S12" t="str">
            <v>31202</v>
          </cell>
          <cell r="T12" t="str">
            <v>52</v>
          </cell>
          <cell r="U12" t="str">
            <v>Whisky, Skottland, malt</v>
          </cell>
          <cell r="V12" t="str">
            <v>X</v>
          </cell>
          <cell r="W12" t="str">
            <v>0</v>
          </cell>
          <cell r="X12" t="str">
            <v/>
          </cell>
          <cell r="Y12" t="str">
            <v>Skottland</v>
          </cell>
          <cell r="Z12" t="str">
            <v>Campbeltown</v>
          </cell>
          <cell r="AA12" t="str">
            <v/>
          </cell>
          <cell r="AB12" t="str">
            <v/>
          </cell>
          <cell r="AC12" t="str">
            <v/>
          </cell>
          <cell r="AD12" t="str">
            <v>60783</v>
          </cell>
          <cell r="AE12" t="str">
            <v>Loch Lomond Dist.</v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>0</v>
          </cell>
          <cell r="AS12" t="str">
            <v/>
          </cell>
          <cell r="AT12" t="str">
            <v>0</v>
          </cell>
          <cell r="AU12" t="str">
            <v/>
          </cell>
          <cell r="AV12" t="str">
            <v>0</v>
          </cell>
          <cell r="AW12" t="str">
            <v/>
          </cell>
          <cell r="AX12" t="str">
            <v>0</v>
          </cell>
          <cell r="AY12" t="str">
            <v/>
          </cell>
          <cell r="AZ12" t="str">
            <v>0</v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>0</v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>03</v>
          </cell>
          <cell r="BY12" t="str">
            <v>Glass</v>
          </cell>
          <cell r="BZ12" t="str">
            <v/>
          </cell>
          <cell r="CA12">
            <v>757</v>
          </cell>
          <cell r="CB12" t="str">
            <v>1</v>
          </cell>
          <cell r="CC12" t="str">
            <v/>
          </cell>
          <cell r="CD12">
            <v>46</v>
          </cell>
          <cell r="CE12">
            <v>0.7</v>
          </cell>
          <cell r="CF12" t="str">
            <v/>
          </cell>
          <cell r="CG12" t="str">
            <v>01</v>
          </cell>
          <cell r="CH12" t="str">
            <v>1663,23</v>
          </cell>
          <cell r="CI12">
            <v>45328</v>
          </cell>
          <cell r="CJ12">
            <v>2958465</v>
          </cell>
          <cell r="CK12">
            <v>1819.6</v>
          </cell>
        </row>
        <row r="13">
          <cell r="A13">
            <v>17021301</v>
          </cell>
          <cell r="B13" t="str">
            <v/>
          </cell>
          <cell r="C13" t="str">
            <v>Loch Lomond 21YO</v>
          </cell>
          <cell r="D13" t="str">
            <v>Loch Lomond 21YO</v>
          </cell>
          <cell r="E13" t="str">
            <v>Loch Lomond 21YO</v>
          </cell>
          <cell r="F13">
            <v>45365</v>
          </cell>
          <cell r="G13" t="str">
            <v>31</v>
          </cell>
          <cell r="H13" t="str">
            <v>Spesialutvalg</v>
          </cell>
          <cell r="I13">
            <v>45328</v>
          </cell>
          <cell r="J13">
            <v>2958465</v>
          </cell>
          <cell r="K13"/>
          <cell r="L13" t="str">
            <v/>
          </cell>
          <cell r="M13" t="str">
            <v/>
          </cell>
          <cell r="N13" t="str">
            <v/>
          </cell>
          <cell r="O13"/>
          <cell r="P13" t="str">
            <v>Brennevin</v>
          </cell>
          <cell r="Q13" t="str">
            <v>Whisky</v>
          </cell>
          <cell r="R13" t="str">
            <v>Whisky, malt</v>
          </cell>
          <cell r="S13" t="str">
            <v>31202</v>
          </cell>
          <cell r="T13" t="str">
            <v>52</v>
          </cell>
          <cell r="U13" t="str">
            <v>Whisky, Skottland, malt</v>
          </cell>
          <cell r="V13" t="str">
            <v>X</v>
          </cell>
          <cell r="W13" t="str">
            <v>0</v>
          </cell>
          <cell r="X13" t="str">
            <v/>
          </cell>
          <cell r="Y13" t="str">
            <v>Skottland</v>
          </cell>
          <cell r="Z13" t="str">
            <v>Highland</v>
          </cell>
          <cell r="AA13" t="str">
            <v>Øvrige</v>
          </cell>
          <cell r="AB13" t="str">
            <v/>
          </cell>
          <cell r="AC13" t="str">
            <v/>
          </cell>
          <cell r="AD13" t="str">
            <v>60783</v>
          </cell>
          <cell r="AE13" t="str">
            <v>Loch Lomond Dist.</v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>0</v>
          </cell>
          <cell r="AS13" t="str">
            <v/>
          </cell>
          <cell r="AT13" t="str">
            <v>0</v>
          </cell>
          <cell r="AU13" t="str">
            <v/>
          </cell>
          <cell r="AV13" t="str">
            <v>0</v>
          </cell>
          <cell r="AW13" t="str">
            <v/>
          </cell>
          <cell r="AX13" t="str">
            <v>0</v>
          </cell>
          <cell r="AY13" t="str">
            <v/>
          </cell>
          <cell r="AZ13" t="str">
            <v>0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>0</v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>03</v>
          </cell>
          <cell r="BY13" t="str">
            <v>Glass</v>
          </cell>
          <cell r="BZ13" t="str">
            <v/>
          </cell>
          <cell r="CA13">
            <v>0</v>
          </cell>
          <cell r="CB13" t="str">
            <v>1</v>
          </cell>
          <cell r="CC13" t="str">
            <v/>
          </cell>
          <cell r="CD13">
            <v>46</v>
          </cell>
          <cell r="CE13">
            <v>0.7</v>
          </cell>
          <cell r="CF13" t="str">
            <v/>
          </cell>
          <cell r="CG13" t="str">
            <v>01</v>
          </cell>
          <cell r="CH13" t="str">
            <v>2113,43</v>
          </cell>
          <cell r="CI13">
            <v>45328</v>
          </cell>
          <cell r="CJ13">
            <v>2958465</v>
          </cell>
          <cell r="CK13">
            <v>2309.4</v>
          </cell>
        </row>
        <row r="14">
          <cell r="A14">
            <v>17021402</v>
          </cell>
          <cell r="B14" t="str">
            <v/>
          </cell>
          <cell r="C14" t="str">
            <v>Eiktyrne Kveik og Malt 36mnd Single Malt Whisky</v>
          </cell>
          <cell r="D14" t="str">
            <v>Eiktyrne Kveik og Malt 36mnd</v>
          </cell>
          <cell r="E14" t="str">
            <v>Eiktyrne Kveik og Malt 36mnd</v>
          </cell>
          <cell r="F14">
            <v>45365</v>
          </cell>
          <cell r="G14" t="str">
            <v>31</v>
          </cell>
          <cell r="H14" t="str">
            <v>Spesialutvalg</v>
          </cell>
          <cell r="I14">
            <v>45328</v>
          </cell>
          <cell r="J14">
            <v>2958465</v>
          </cell>
          <cell r="K14"/>
          <cell r="L14" t="str">
            <v/>
          </cell>
          <cell r="M14" t="str">
            <v/>
          </cell>
          <cell r="N14" t="str">
            <v/>
          </cell>
          <cell r="O14"/>
          <cell r="P14" t="str">
            <v>Brennevin</v>
          </cell>
          <cell r="Q14" t="str">
            <v>Whisky</v>
          </cell>
          <cell r="R14" t="str">
            <v>Whisky, malt</v>
          </cell>
          <cell r="S14" t="str">
            <v>31202</v>
          </cell>
          <cell r="T14" t="str">
            <v>55</v>
          </cell>
          <cell r="U14" t="str">
            <v>Whisky, malt</v>
          </cell>
          <cell r="V14" t="str">
            <v>X</v>
          </cell>
          <cell r="W14" t="str">
            <v>0</v>
          </cell>
          <cell r="X14" t="str">
            <v/>
          </cell>
          <cell r="Y14" t="str">
            <v>Norge</v>
          </cell>
          <cell r="Z14" t="str">
            <v>Agder</v>
          </cell>
          <cell r="AA14" t="str">
            <v>Grimstad</v>
          </cell>
          <cell r="AB14" t="str">
            <v/>
          </cell>
          <cell r="AC14" t="str">
            <v/>
          </cell>
          <cell r="AD14" t="str">
            <v>600268</v>
          </cell>
          <cell r="AE14" t="str">
            <v>Det Norske Brenneri</v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>0</v>
          </cell>
          <cell r="AS14" t="str">
            <v/>
          </cell>
          <cell r="AT14" t="str">
            <v>0</v>
          </cell>
          <cell r="AU14" t="str">
            <v/>
          </cell>
          <cell r="AV14" t="str">
            <v>0</v>
          </cell>
          <cell r="AW14" t="str">
            <v/>
          </cell>
          <cell r="AX14" t="str">
            <v>0</v>
          </cell>
          <cell r="AY14" t="str">
            <v/>
          </cell>
          <cell r="AZ14" t="str">
            <v>0</v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>0,0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>03</v>
          </cell>
          <cell r="BY14" t="str">
            <v>Glass</v>
          </cell>
          <cell r="BZ14" t="str">
            <v/>
          </cell>
          <cell r="CA14">
            <v>0</v>
          </cell>
          <cell r="CB14" t="str">
            <v>1</v>
          </cell>
          <cell r="CC14" t="str">
            <v/>
          </cell>
          <cell r="CD14">
            <v>48.2</v>
          </cell>
          <cell r="CE14">
            <v>0.5</v>
          </cell>
          <cell r="CF14" t="str">
            <v/>
          </cell>
          <cell r="CG14" t="str">
            <v>02</v>
          </cell>
          <cell r="CH14" t="str">
            <v>671,05</v>
          </cell>
          <cell r="CI14">
            <v>45328</v>
          </cell>
          <cell r="CJ14">
            <v>2958465</v>
          </cell>
          <cell r="CK14">
            <v>739.9</v>
          </cell>
        </row>
        <row r="15">
          <cell r="A15">
            <v>17021501</v>
          </cell>
          <cell r="B15" t="str">
            <v/>
          </cell>
          <cell r="C15" t="str">
            <v>Glenmorangie Barrel Select Calvados</v>
          </cell>
          <cell r="D15" t="str">
            <v>Glenmorangie Barrel Select Calvados</v>
          </cell>
          <cell r="E15" t="str">
            <v>Glenmorangie Barrel Select Calvados</v>
          </cell>
          <cell r="F15">
            <v>45365</v>
          </cell>
          <cell r="G15" t="str">
            <v>31</v>
          </cell>
          <cell r="H15" t="str">
            <v>Spesialutvalg</v>
          </cell>
          <cell r="I15">
            <v>45328</v>
          </cell>
          <cell r="J15">
            <v>2958465</v>
          </cell>
          <cell r="K15"/>
          <cell r="L15" t="str">
            <v/>
          </cell>
          <cell r="M15" t="str">
            <v/>
          </cell>
          <cell r="N15" t="str">
            <v/>
          </cell>
          <cell r="O15"/>
          <cell r="P15" t="str">
            <v>Brennevin</v>
          </cell>
          <cell r="Q15" t="str">
            <v>Whisky</v>
          </cell>
          <cell r="R15" t="str">
            <v>Whisky, malt</v>
          </cell>
          <cell r="S15" t="str">
            <v>31202</v>
          </cell>
          <cell r="T15" t="str">
            <v>52</v>
          </cell>
          <cell r="U15" t="str">
            <v>Whisky, Skottland, malt</v>
          </cell>
          <cell r="V15" t="str">
            <v>X</v>
          </cell>
          <cell r="W15" t="str">
            <v>0</v>
          </cell>
          <cell r="X15" t="str">
            <v/>
          </cell>
          <cell r="Y15" t="str">
            <v>Skottland</v>
          </cell>
          <cell r="Z15" t="str">
            <v>Highland</v>
          </cell>
          <cell r="AA15" t="str">
            <v>Øvrige</v>
          </cell>
          <cell r="AB15" t="str">
            <v/>
          </cell>
          <cell r="AC15" t="str">
            <v/>
          </cell>
          <cell r="AD15" t="str">
            <v>61267</v>
          </cell>
          <cell r="AE15" t="str">
            <v>Glenmorangie Dist.</v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>0</v>
          </cell>
          <cell r="AS15" t="str">
            <v/>
          </cell>
          <cell r="AT15" t="str">
            <v>0</v>
          </cell>
          <cell r="AU15" t="str">
            <v/>
          </cell>
          <cell r="AV15" t="str">
            <v>0</v>
          </cell>
          <cell r="AW15" t="str">
            <v/>
          </cell>
          <cell r="AX15" t="str">
            <v>0</v>
          </cell>
          <cell r="AY15" t="str">
            <v/>
          </cell>
          <cell r="AZ15" t="str">
            <v>0</v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>0,0</v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>03</v>
          </cell>
          <cell r="BY15" t="str">
            <v>Glass</v>
          </cell>
          <cell r="BZ15" t="str">
            <v/>
          </cell>
          <cell r="CA15">
            <v>0</v>
          </cell>
          <cell r="CB15" t="str">
            <v>1</v>
          </cell>
          <cell r="CC15" t="str">
            <v/>
          </cell>
          <cell r="CD15">
            <v>46</v>
          </cell>
          <cell r="CE15">
            <v>0.7</v>
          </cell>
          <cell r="CF15" t="str">
            <v/>
          </cell>
          <cell r="CG15" t="str">
            <v>01</v>
          </cell>
          <cell r="CH15" t="str">
            <v>772,01</v>
          </cell>
          <cell r="CI15">
            <v>45328</v>
          </cell>
          <cell r="CJ15">
            <v>2958465</v>
          </cell>
          <cell r="CK15">
            <v>849.9</v>
          </cell>
        </row>
        <row r="16">
          <cell r="A16">
            <v>17021601</v>
          </cell>
          <cell r="B16" t="str">
            <v/>
          </cell>
          <cell r="C16" t="str">
            <v>Ki No Bi Edition K Kyoto Dry Gin Peated Malt Cask Aged</v>
          </cell>
          <cell r="D16" t="str">
            <v>Ki No Bi Edition K Peated Malt Cask Aged</v>
          </cell>
          <cell r="E16" t="str">
            <v>Ki No Bi Edition K Peated Malt Cask Aged</v>
          </cell>
          <cell r="F16">
            <v>45365</v>
          </cell>
          <cell r="G16" t="str">
            <v>31</v>
          </cell>
          <cell r="H16" t="str">
            <v>Spesialutvalg</v>
          </cell>
          <cell r="I16">
            <v>45328</v>
          </cell>
          <cell r="J16">
            <v>2958465</v>
          </cell>
          <cell r="K16"/>
          <cell r="L16" t="str">
            <v/>
          </cell>
          <cell r="M16" t="str">
            <v/>
          </cell>
          <cell r="N16" t="str">
            <v/>
          </cell>
          <cell r="O16"/>
          <cell r="P16" t="str">
            <v>Brennevin</v>
          </cell>
          <cell r="Q16" t="str">
            <v>Gin</v>
          </cell>
          <cell r="R16" t="str">
            <v>Gin</v>
          </cell>
          <cell r="S16" t="str">
            <v>30701</v>
          </cell>
          <cell r="T16" t="str">
            <v>63</v>
          </cell>
          <cell r="U16" t="str">
            <v>Gin, blank</v>
          </cell>
          <cell r="V16" t="str">
            <v>X</v>
          </cell>
          <cell r="W16" t="str">
            <v>0</v>
          </cell>
          <cell r="X16" t="str">
            <v/>
          </cell>
          <cell r="Y16" t="str">
            <v>Japan</v>
          </cell>
          <cell r="Z16" t="str">
            <v>Øvrige</v>
          </cell>
          <cell r="AA16" t="str">
            <v>Øvrige</v>
          </cell>
          <cell r="AB16" t="str">
            <v/>
          </cell>
          <cell r="AC16" t="str">
            <v/>
          </cell>
          <cell r="AD16" t="str">
            <v>602855</v>
          </cell>
          <cell r="AE16" t="str">
            <v>The Kyoto Dist.</v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>0</v>
          </cell>
          <cell r="AS16" t="str">
            <v/>
          </cell>
          <cell r="AT16" t="str">
            <v>0</v>
          </cell>
          <cell r="AU16" t="str">
            <v/>
          </cell>
          <cell r="AV16" t="str">
            <v>0</v>
          </cell>
          <cell r="AW16" t="str">
            <v/>
          </cell>
          <cell r="AX16" t="str">
            <v>0</v>
          </cell>
          <cell r="AY16" t="str">
            <v/>
          </cell>
          <cell r="AZ16" t="str">
            <v>0</v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>0</v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>03</v>
          </cell>
          <cell r="BY16" t="str">
            <v>Glass</v>
          </cell>
          <cell r="BZ16" t="str">
            <v/>
          </cell>
          <cell r="CA16">
            <v>0</v>
          </cell>
          <cell r="CB16" t="str">
            <v>1</v>
          </cell>
          <cell r="CC16" t="str">
            <v/>
          </cell>
          <cell r="CD16">
            <v>46</v>
          </cell>
          <cell r="CE16">
            <v>0.7</v>
          </cell>
          <cell r="CF16" t="str">
            <v/>
          </cell>
          <cell r="CG16" t="str">
            <v>01</v>
          </cell>
          <cell r="CH16" t="str">
            <v>908,99</v>
          </cell>
          <cell r="CI16">
            <v>45337</v>
          </cell>
          <cell r="CJ16">
            <v>2958465</v>
          </cell>
          <cell r="CK16">
            <v>999</v>
          </cell>
        </row>
        <row r="17">
          <cell r="A17">
            <v>17021701</v>
          </cell>
          <cell r="B17" t="str">
            <v/>
          </cell>
          <cell r="C17" t="str">
            <v>Coquerel Pomme d'Eve</v>
          </cell>
          <cell r="D17" t="str">
            <v>Coquerel Pomme d'Eve</v>
          </cell>
          <cell r="E17" t="str">
            <v>Coquerel Pomme d'Eve</v>
          </cell>
          <cell r="F17">
            <v>45365</v>
          </cell>
          <cell r="G17" t="str">
            <v>31</v>
          </cell>
          <cell r="H17" t="str">
            <v>Spesialutvalg</v>
          </cell>
          <cell r="I17">
            <v>45365</v>
          </cell>
          <cell r="J17">
            <v>2958465</v>
          </cell>
          <cell r="K17"/>
          <cell r="L17" t="str">
            <v/>
          </cell>
          <cell r="M17" t="str">
            <v/>
          </cell>
          <cell r="N17" t="str">
            <v/>
          </cell>
          <cell r="O17"/>
          <cell r="P17" t="str">
            <v>Brennevin</v>
          </cell>
          <cell r="Q17" t="str">
            <v>Fruktbrennevin</v>
          </cell>
          <cell r="R17" t="str">
            <v>Calvados</v>
          </cell>
          <cell r="S17" t="str">
            <v>30502</v>
          </cell>
          <cell r="T17" t="str">
            <v>82</v>
          </cell>
          <cell r="U17" t="str">
            <v>Calvados</v>
          </cell>
          <cell r="V17" t="str">
            <v>X</v>
          </cell>
          <cell r="W17" t="str">
            <v>0</v>
          </cell>
          <cell r="X17" t="str">
            <v/>
          </cell>
          <cell r="Y17" t="str">
            <v>Frankrike</v>
          </cell>
          <cell r="Z17" t="str">
            <v>Calvados</v>
          </cell>
          <cell r="AA17" t="str">
            <v>Øvrige</v>
          </cell>
          <cell r="AB17" t="str">
            <v>AOC</v>
          </cell>
          <cell r="AC17" t="str">
            <v/>
          </cell>
          <cell r="AD17" t="str">
            <v>600919</v>
          </cell>
          <cell r="AE17" t="str">
            <v>Coquerel</v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>0</v>
          </cell>
          <cell r="AS17" t="str">
            <v/>
          </cell>
          <cell r="AT17" t="str">
            <v>0</v>
          </cell>
          <cell r="AU17" t="str">
            <v/>
          </cell>
          <cell r="AV17" t="str">
            <v>0</v>
          </cell>
          <cell r="AW17" t="str">
            <v/>
          </cell>
          <cell r="AX17" t="str">
            <v>0</v>
          </cell>
          <cell r="AY17" t="str">
            <v/>
          </cell>
          <cell r="AZ17" t="str">
            <v>0</v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>0</v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>03</v>
          </cell>
          <cell r="BY17" t="str">
            <v>Glass</v>
          </cell>
          <cell r="BZ17" t="str">
            <v/>
          </cell>
          <cell r="CA17">
            <v>0</v>
          </cell>
          <cell r="CB17" t="str">
            <v>1</v>
          </cell>
          <cell r="CC17" t="str">
            <v/>
          </cell>
          <cell r="CD17">
            <v>40</v>
          </cell>
          <cell r="CE17">
            <v>0.7</v>
          </cell>
          <cell r="CF17" t="str">
            <v/>
          </cell>
          <cell r="CG17" t="str">
            <v>01</v>
          </cell>
          <cell r="CH17" t="str">
            <v>998,03</v>
          </cell>
          <cell r="CI17">
            <v>45328</v>
          </cell>
          <cell r="CJ17">
            <v>2958465</v>
          </cell>
          <cell r="CK17">
            <v>1080.2</v>
          </cell>
        </row>
        <row r="18">
          <cell r="A18">
            <v>17021801</v>
          </cell>
          <cell r="B18" t="str">
            <v/>
          </cell>
          <cell r="C18" t="str">
            <v>Dunville's Single Malt 12 YO Pedro Ximenez Finish Single Cask</v>
          </cell>
          <cell r="D18" t="str">
            <v>Dunville's Single Malt 12 YO PX</v>
          </cell>
          <cell r="E18" t="str">
            <v>Dunville's Single Malt 12 YO PX</v>
          </cell>
          <cell r="F18">
            <v>45365</v>
          </cell>
          <cell r="G18" t="str">
            <v>31</v>
          </cell>
          <cell r="H18" t="str">
            <v>Spesialutvalg</v>
          </cell>
          <cell r="I18">
            <v>45365</v>
          </cell>
          <cell r="J18">
            <v>2958465</v>
          </cell>
          <cell r="K18"/>
          <cell r="L18" t="str">
            <v/>
          </cell>
          <cell r="M18" t="str">
            <v/>
          </cell>
          <cell r="N18" t="str">
            <v/>
          </cell>
          <cell r="O18"/>
          <cell r="P18" t="str">
            <v>Brennevin</v>
          </cell>
          <cell r="Q18" t="str">
            <v>Whisky</v>
          </cell>
          <cell r="R18" t="str">
            <v>Whisky, malt</v>
          </cell>
          <cell r="S18" t="str">
            <v>31202</v>
          </cell>
          <cell r="T18" t="str">
            <v>55</v>
          </cell>
          <cell r="U18" t="str">
            <v>Whisky, malt</v>
          </cell>
          <cell r="V18" t="str">
            <v>X</v>
          </cell>
          <cell r="W18" t="str">
            <v>0</v>
          </cell>
          <cell r="X18" t="str">
            <v/>
          </cell>
          <cell r="Y18" t="str">
            <v>Irland</v>
          </cell>
          <cell r="Z18" t="str">
            <v>Øvrige</v>
          </cell>
          <cell r="AA18" t="str">
            <v/>
          </cell>
          <cell r="AB18" t="str">
            <v/>
          </cell>
          <cell r="AC18" t="str">
            <v/>
          </cell>
          <cell r="AD18" t="str">
            <v>2616179</v>
          </cell>
          <cell r="AE18" t="str">
            <v>The Echlinville Distillery</v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>0</v>
          </cell>
          <cell r="AS18" t="str">
            <v/>
          </cell>
          <cell r="AT18" t="str">
            <v>0</v>
          </cell>
          <cell r="AU18" t="str">
            <v/>
          </cell>
          <cell r="AV18" t="str">
            <v>0</v>
          </cell>
          <cell r="AW18" t="str">
            <v/>
          </cell>
          <cell r="AX18" t="str">
            <v>0</v>
          </cell>
          <cell r="AY18" t="str">
            <v/>
          </cell>
          <cell r="AZ18" t="str">
            <v>0</v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>0</v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>03</v>
          </cell>
          <cell r="BY18" t="str">
            <v>Glass</v>
          </cell>
          <cell r="BZ18" t="str">
            <v/>
          </cell>
          <cell r="CA18">
            <v>0</v>
          </cell>
          <cell r="CB18" t="str">
            <v>1</v>
          </cell>
          <cell r="CC18" t="str">
            <v/>
          </cell>
          <cell r="CD18">
            <v>55.8</v>
          </cell>
          <cell r="CE18">
            <v>0.7</v>
          </cell>
          <cell r="CF18" t="str">
            <v/>
          </cell>
          <cell r="CG18" t="str">
            <v>01</v>
          </cell>
          <cell r="CH18" t="str">
            <v>1467,40</v>
          </cell>
          <cell r="CI18">
            <v>45328</v>
          </cell>
          <cell r="CJ18">
            <v>2958465</v>
          </cell>
          <cell r="CK18">
            <v>1580.2</v>
          </cell>
        </row>
        <row r="19">
          <cell r="A19">
            <v>17021901</v>
          </cell>
          <cell r="B19" t="str">
            <v/>
          </cell>
          <cell r="C19" t="str">
            <v>Lindores Abbey Cask of Lindores II Bourbon</v>
          </cell>
          <cell r="D19" t="str">
            <v>Lindores Abbey Cask of Lindores Bourbon</v>
          </cell>
          <cell r="E19" t="str">
            <v>Lindores Abbey Cask of Lindores Bourbon</v>
          </cell>
          <cell r="F19">
            <v>45365</v>
          </cell>
          <cell r="G19" t="str">
            <v>31</v>
          </cell>
          <cell r="H19" t="str">
            <v>Spesialutvalg</v>
          </cell>
          <cell r="I19">
            <v>45328</v>
          </cell>
          <cell r="J19">
            <v>2958465</v>
          </cell>
          <cell r="K19"/>
          <cell r="L19" t="str">
            <v/>
          </cell>
          <cell r="M19" t="str">
            <v/>
          </cell>
          <cell r="N19" t="str">
            <v/>
          </cell>
          <cell r="O19"/>
          <cell r="P19" t="str">
            <v>Brennevin</v>
          </cell>
          <cell r="Q19" t="str">
            <v>Whisky</v>
          </cell>
          <cell r="R19" t="str">
            <v>Whisky, malt</v>
          </cell>
          <cell r="S19" t="str">
            <v>31202</v>
          </cell>
          <cell r="T19" t="str">
            <v>52</v>
          </cell>
          <cell r="U19" t="str">
            <v>Whisky, Skottland, malt</v>
          </cell>
          <cell r="V19" t="str">
            <v>X</v>
          </cell>
          <cell r="W19" t="str">
            <v>0</v>
          </cell>
          <cell r="X19" t="str">
            <v/>
          </cell>
          <cell r="Y19" t="str">
            <v>Skottland</v>
          </cell>
          <cell r="Z19" t="str">
            <v>Lowland</v>
          </cell>
          <cell r="AA19" t="str">
            <v/>
          </cell>
          <cell r="AB19" t="str">
            <v/>
          </cell>
          <cell r="AC19" t="str">
            <v/>
          </cell>
          <cell r="AD19" t="str">
            <v>2490760</v>
          </cell>
          <cell r="AE19" t="str">
            <v>Lindores Abbey Distillery</v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>0</v>
          </cell>
          <cell r="AS19" t="str">
            <v/>
          </cell>
          <cell r="AT19" t="str">
            <v>0</v>
          </cell>
          <cell r="AU19" t="str">
            <v/>
          </cell>
          <cell r="AV19" t="str">
            <v>0</v>
          </cell>
          <cell r="AW19" t="str">
            <v/>
          </cell>
          <cell r="AX19" t="str">
            <v>0</v>
          </cell>
          <cell r="AY19" t="str">
            <v/>
          </cell>
          <cell r="AZ19" t="str">
            <v>0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>1</v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>03</v>
          </cell>
          <cell r="BY19" t="str">
            <v>Glass</v>
          </cell>
          <cell r="BZ19" t="str">
            <v/>
          </cell>
          <cell r="CA19">
            <v>0</v>
          </cell>
          <cell r="CB19" t="str">
            <v>1</v>
          </cell>
          <cell r="CC19" t="str">
            <v/>
          </cell>
          <cell r="CD19">
            <v>49.4</v>
          </cell>
          <cell r="CE19">
            <v>0.7</v>
          </cell>
          <cell r="CF19" t="str">
            <v/>
          </cell>
          <cell r="CG19" t="str">
            <v>01</v>
          </cell>
          <cell r="CH19" t="str">
            <v>911,93</v>
          </cell>
          <cell r="CI19">
            <v>45328</v>
          </cell>
          <cell r="CJ19">
            <v>2958465</v>
          </cell>
          <cell r="CK19">
            <v>999.9</v>
          </cell>
        </row>
        <row r="20">
          <cell r="A20">
            <v>17022001</v>
          </cell>
          <cell r="B20" t="str">
            <v/>
          </cell>
          <cell r="C20" t="str">
            <v>Lindores Abbey Thiron Virgin Oak Single Cask</v>
          </cell>
          <cell r="D20" t="str">
            <v>Lindores Abbey Thiron Virgin Oak</v>
          </cell>
          <cell r="E20" t="str">
            <v>Lindores Abbey Thiron Virgin Oak</v>
          </cell>
          <cell r="F20">
            <v>45365</v>
          </cell>
          <cell r="G20" t="str">
            <v>31</v>
          </cell>
          <cell r="H20" t="str">
            <v>Spesialutvalg</v>
          </cell>
          <cell r="I20">
            <v>45328</v>
          </cell>
          <cell r="J20">
            <v>2958465</v>
          </cell>
          <cell r="K20"/>
          <cell r="L20" t="str">
            <v/>
          </cell>
          <cell r="M20" t="str">
            <v/>
          </cell>
          <cell r="N20" t="str">
            <v/>
          </cell>
          <cell r="O20"/>
          <cell r="P20" t="str">
            <v>Brennevin</v>
          </cell>
          <cell r="Q20" t="str">
            <v>Whisky</v>
          </cell>
          <cell r="R20" t="str">
            <v>Whisky, malt</v>
          </cell>
          <cell r="S20" t="str">
            <v>31202</v>
          </cell>
          <cell r="T20" t="str">
            <v>52</v>
          </cell>
          <cell r="U20" t="str">
            <v>Whisky, Skottland, malt</v>
          </cell>
          <cell r="V20" t="str">
            <v>X</v>
          </cell>
          <cell r="W20" t="str">
            <v>0</v>
          </cell>
          <cell r="X20" t="str">
            <v/>
          </cell>
          <cell r="Y20" t="str">
            <v>Skottland</v>
          </cell>
          <cell r="Z20" t="str">
            <v>Lowland</v>
          </cell>
          <cell r="AA20" t="str">
            <v/>
          </cell>
          <cell r="AB20" t="str">
            <v/>
          </cell>
          <cell r="AC20" t="str">
            <v/>
          </cell>
          <cell r="AD20" t="str">
            <v>2490760</v>
          </cell>
          <cell r="AE20" t="str">
            <v>Lindores Abbey Distillery</v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>0</v>
          </cell>
          <cell r="AS20" t="str">
            <v/>
          </cell>
          <cell r="AT20" t="str">
            <v>0</v>
          </cell>
          <cell r="AU20" t="str">
            <v/>
          </cell>
          <cell r="AV20" t="str">
            <v>0</v>
          </cell>
          <cell r="AW20" t="str">
            <v/>
          </cell>
          <cell r="AX20" t="str">
            <v>0</v>
          </cell>
          <cell r="AY20" t="str">
            <v/>
          </cell>
          <cell r="AZ20" t="str">
            <v>0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>1</v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>03</v>
          </cell>
          <cell r="BY20" t="str">
            <v>Glass</v>
          </cell>
          <cell r="BZ20" t="str">
            <v/>
          </cell>
          <cell r="CA20">
            <v>0</v>
          </cell>
          <cell r="CB20" t="str">
            <v>1</v>
          </cell>
          <cell r="CC20" t="str">
            <v/>
          </cell>
          <cell r="CD20">
            <v>58.3</v>
          </cell>
          <cell r="CE20">
            <v>0.7</v>
          </cell>
          <cell r="CF20" t="str">
            <v/>
          </cell>
          <cell r="CG20" t="str">
            <v>01</v>
          </cell>
          <cell r="CH20" t="str">
            <v>1101,29</v>
          </cell>
          <cell r="CI20">
            <v>45328</v>
          </cell>
          <cell r="CJ20">
            <v>2958465</v>
          </cell>
          <cell r="CK20">
            <v>1199.9000000000001</v>
          </cell>
        </row>
        <row r="21">
          <cell r="A21">
            <v>17031101</v>
          </cell>
          <cell r="B21" t="str">
            <v/>
          </cell>
          <cell r="C21" t="str">
            <v>Brave New Spirits Hector's Sound of Islay</v>
          </cell>
          <cell r="D21" t="str">
            <v>Brave New Spirits Hector's Sound of Isl…</v>
          </cell>
          <cell r="E21" t="str">
            <v>Brave New Spirits Hector's Sound of Isl</v>
          </cell>
          <cell r="F21">
            <v>45365</v>
          </cell>
          <cell r="G21" t="str">
            <v>31</v>
          </cell>
          <cell r="H21" t="str">
            <v>Spesialutvalg</v>
          </cell>
          <cell r="I21">
            <v>45329</v>
          </cell>
          <cell r="J21">
            <v>2958465</v>
          </cell>
          <cell r="K21"/>
          <cell r="L21" t="str">
            <v/>
          </cell>
          <cell r="M21" t="str">
            <v/>
          </cell>
          <cell r="N21" t="str">
            <v/>
          </cell>
          <cell r="O21"/>
          <cell r="P21" t="str">
            <v>Brennevin</v>
          </cell>
          <cell r="Q21" t="str">
            <v>Whisky</v>
          </cell>
          <cell r="R21" t="str">
            <v>Whisky, malt</v>
          </cell>
          <cell r="S21" t="str">
            <v>31202</v>
          </cell>
          <cell r="T21" t="str">
            <v>52</v>
          </cell>
          <cell r="U21" t="str">
            <v>Whisky, Skottland, malt</v>
          </cell>
          <cell r="V21" t="str">
            <v>X</v>
          </cell>
          <cell r="W21" t="str">
            <v>0</v>
          </cell>
          <cell r="X21" t="str">
            <v/>
          </cell>
          <cell r="Y21" t="str">
            <v>Skottland</v>
          </cell>
          <cell r="Z21" t="str">
            <v>Islay</v>
          </cell>
          <cell r="AA21" t="str">
            <v/>
          </cell>
          <cell r="AB21" t="str">
            <v/>
          </cell>
          <cell r="AC21" t="str">
            <v/>
          </cell>
          <cell r="AD21" t="str">
            <v>2616461</v>
          </cell>
          <cell r="AE21" t="str">
            <v>Brave New Spirits</v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>0</v>
          </cell>
          <cell r="AS21" t="str">
            <v/>
          </cell>
          <cell r="AT21" t="str">
            <v>0</v>
          </cell>
          <cell r="AU21" t="str">
            <v/>
          </cell>
          <cell r="AV21" t="str">
            <v>0</v>
          </cell>
          <cell r="AW21" t="str">
            <v/>
          </cell>
          <cell r="AX21" t="str">
            <v>0</v>
          </cell>
          <cell r="AY21" t="str">
            <v/>
          </cell>
          <cell r="AZ21" t="str">
            <v>0</v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>0</v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>03</v>
          </cell>
          <cell r="BY21" t="str">
            <v>Glass</v>
          </cell>
          <cell r="BZ21" t="str">
            <v/>
          </cell>
          <cell r="CA21">
            <v>0</v>
          </cell>
          <cell r="CB21" t="str">
            <v>1</v>
          </cell>
          <cell r="CC21" t="str">
            <v/>
          </cell>
          <cell r="CD21">
            <v>56</v>
          </cell>
          <cell r="CE21">
            <v>0.7</v>
          </cell>
          <cell r="CF21" t="str">
            <v/>
          </cell>
          <cell r="CG21" t="str">
            <v>01</v>
          </cell>
          <cell r="CH21" t="str">
            <v>1812,29</v>
          </cell>
          <cell r="CI21">
            <v>45329</v>
          </cell>
          <cell r="CJ21">
            <v>2958465</v>
          </cell>
          <cell r="CK21">
            <v>1817.3</v>
          </cell>
        </row>
        <row r="22">
          <cell r="A22">
            <v>17031201</v>
          </cell>
          <cell r="B22" t="str">
            <v/>
          </cell>
          <cell r="C22" t="str">
            <v>Brave New Spirits Ghost of the Hill</v>
          </cell>
          <cell r="D22" t="str">
            <v>Brave New Spirits Ghost of the Hill</v>
          </cell>
          <cell r="E22" t="str">
            <v>Brave New Spirits Ghost of the Hill</v>
          </cell>
          <cell r="F22">
            <v>45365</v>
          </cell>
          <cell r="G22" t="str">
            <v>31</v>
          </cell>
          <cell r="H22" t="str">
            <v>Spesialutvalg</v>
          </cell>
          <cell r="I22">
            <v>45329</v>
          </cell>
          <cell r="J22">
            <v>2958465</v>
          </cell>
          <cell r="K22"/>
          <cell r="L22" t="str">
            <v/>
          </cell>
          <cell r="M22" t="str">
            <v/>
          </cell>
          <cell r="N22" t="str">
            <v/>
          </cell>
          <cell r="O22"/>
          <cell r="P22" t="str">
            <v>Brennevin</v>
          </cell>
          <cell r="Q22" t="str">
            <v>Whisky</v>
          </cell>
          <cell r="R22" t="str">
            <v>Whisky, malt</v>
          </cell>
          <cell r="S22" t="str">
            <v>31202</v>
          </cell>
          <cell r="T22" t="str">
            <v>52</v>
          </cell>
          <cell r="U22" t="str">
            <v>Whisky, Skottland, malt</v>
          </cell>
          <cell r="V22" t="str">
            <v>X</v>
          </cell>
          <cell r="W22" t="str">
            <v>0</v>
          </cell>
          <cell r="X22" t="str">
            <v/>
          </cell>
          <cell r="Y22" t="str">
            <v>Skottland</v>
          </cell>
          <cell r="Z22" t="str">
            <v>Lowland</v>
          </cell>
          <cell r="AA22" t="str">
            <v/>
          </cell>
          <cell r="AB22" t="str">
            <v/>
          </cell>
          <cell r="AC22" t="str">
            <v/>
          </cell>
          <cell r="AD22" t="str">
            <v>2616461</v>
          </cell>
          <cell r="AE22" t="str">
            <v>Brave New Spirits</v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>0</v>
          </cell>
          <cell r="AS22" t="str">
            <v/>
          </cell>
          <cell r="AT22" t="str">
            <v>0</v>
          </cell>
          <cell r="AU22" t="str">
            <v/>
          </cell>
          <cell r="AV22" t="str">
            <v>0</v>
          </cell>
          <cell r="AW22" t="str">
            <v/>
          </cell>
          <cell r="AX22" t="str">
            <v>0</v>
          </cell>
          <cell r="AY22" t="str">
            <v/>
          </cell>
          <cell r="AZ22" t="str">
            <v>0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>0</v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>03</v>
          </cell>
          <cell r="BY22" t="str">
            <v>Glass</v>
          </cell>
          <cell r="BZ22" t="str">
            <v/>
          </cell>
          <cell r="CA22">
            <v>0</v>
          </cell>
          <cell r="CB22" t="str">
            <v>1</v>
          </cell>
          <cell r="CC22" t="str">
            <v/>
          </cell>
          <cell r="CD22">
            <v>54.6</v>
          </cell>
          <cell r="CE22">
            <v>0.7</v>
          </cell>
          <cell r="CF22" t="str">
            <v/>
          </cell>
          <cell r="CG22" t="str">
            <v>01</v>
          </cell>
          <cell r="CH22" t="str">
            <v>1648,73</v>
          </cell>
          <cell r="CI22">
            <v>45329</v>
          </cell>
          <cell r="CJ22">
            <v>2958465</v>
          </cell>
          <cell r="CK22">
            <v>1653.7</v>
          </cell>
        </row>
        <row r="23">
          <cell r="A23">
            <v>17031301</v>
          </cell>
          <cell r="B23" t="str">
            <v/>
          </cell>
          <cell r="C23" t="str">
            <v>Plantation Vintage Barbados 2007</v>
          </cell>
          <cell r="D23" t="str">
            <v>Plantation Vintage Barbados 2007</v>
          </cell>
          <cell r="E23" t="str">
            <v>Plantation Vintage Barbados 2007</v>
          </cell>
          <cell r="F23">
            <v>45365</v>
          </cell>
          <cell r="G23" t="str">
            <v>31</v>
          </cell>
          <cell r="H23" t="str">
            <v>Spesialutvalg</v>
          </cell>
          <cell r="I23">
            <v>45365</v>
          </cell>
          <cell r="J23">
            <v>2958465</v>
          </cell>
          <cell r="K23"/>
          <cell r="L23" t="str">
            <v/>
          </cell>
          <cell r="M23" t="str">
            <v/>
          </cell>
          <cell r="N23" t="str">
            <v/>
          </cell>
          <cell r="O23"/>
          <cell r="P23" t="str">
            <v>Brennevin</v>
          </cell>
          <cell r="Q23" t="str">
            <v>Rom</v>
          </cell>
          <cell r="R23" t="str">
            <v>Rom, brun</v>
          </cell>
          <cell r="S23" t="str">
            <v>31001</v>
          </cell>
          <cell r="T23" t="str">
            <v>64</v>
          </cell>
          <cell r="U23" t="str">
            <v>Rom og cachaca, brun</v>
          </cell>
          <cell r="V23" t="str">
            <v>X</v>
          </cell>
          <cell r="W23" t="str">
            <v>0</v>
          </cell>
          <cell r="X23" t="str">
            <v/>
          </cell>
          <cell r="Y23" t="str">
            <v>Barbados</v>
          </cell>
          <cell r="Z23" t="str">
            <v>Øvrige</v>
          </cell>
          <cell r="AA23" t="str">
            <v/>
          </cell>
          <cell r="AB23" t="str">
            <v/>
          </cell>
          <cell r="AC23" t="str">
            <v/>
          </cell>
          <cell r="AD23" t="str">
            <v>64359</v>
          </cell>
          <cell r="AE23" t="str">
            <v>Ferrand</v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>0</v>
          </cell>
          <cell r="AS23" t="str">
            <v/>
          </cell>
          <cell r="AT23" t="str">
            <v>0</v>
          </cell>
          <cell r="AU23" t="str">
            <v/>
          </cell>
          <cell r="AV23" t="str">
            <v>0</v>
          </cell>
          <cell r="AW23" t="str">
            <v/>
          </cell>
          <cell r="AX23" t="str">
            <v>0</v>
          </cell>
          <cell r="AY23" t="str">
            <v/>
          </cell>
          <cell r="AZ23" t="str">
            <v>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>0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>03</v>
          </cell>
          <cell r="BY23" t="str">
            <v>Glass</v>
          </cell>
          <cell r="BZ23" t="str">
            <v/>
          </cell>
          <cell r="CA23">
            <v>0</v>
          </cell>
          <cell r="CB23" t="str">
            <v>1</v>
          </cell>
          <cell r="CC23" t="str">
            <v/>
          </cell>
          <cell r="CD23">
            <v>48.7</v>
          </cell>
          <cell r="CE23">
            <v>0.7</v>
          </cell>
          <cell r="CF23" t="str">
            <v/>
          </cell>
          <cell r="CG23" t="str">
            <v>01</v>
          </cell>
          <cell r="CH23" t="str">
            <v>1186,00</v>
          </cell>
          <cell r="CI23">
            <v>45329</v>
          </cell>
          <cell r="CJ23">
            <v>2958465</v>
          </cell>
          <cell r="CK23">
            <v>1278.9000000000001</v>
          </cell>
        </row>
        <row r="24">
          <cell r="A24">
            <v>17031401</v>
          </cell>
          <cell r="B24" t="str">
            <v/>
          </cell>
          <cell r="C24" t="str">
            <v>Glen Moray Private Edition When Scotland meets Spain</v>
          </cell>
          <cell r="D24" t="str">
            <v>Glen Moray Private Edition When Scotl...</v>
          </cell>
          <cell r="E24" t="str">
            <v>Glen Moray Private Edition When Scotl...</v>
          </cell>
          <cell r="F24">
            <v>45365</v>
          </cell>
          <cell r="G24" t="str">
            <v>31</v>
          </cell>
          <cell r="H24" t="str">
            <v>Spesialutvalg</v>
          </cell>
          <cell r="I24">
            <v>45329</v>
          </cell>
          <cell r="J24">
            <v>2958465</v>
          </cell>
          <cell r="K24"/>
          <cell r="L24" t="str">
            <v/>
          </cell>
          <cell r="M24" t="str">
            <v/>
          </cell>
          <cell r="N24" t="str">
            <v/>
          </cell>
          <cell r="O24"/>
          <cell r="P24" t="str">
            <v>Brennevin</v>
          </cell>
          <cell r="Q24" t="str">
            <v>Whisky</v>
          </cell>
          <cell r="R24" t="str">
            <v>Whisky, malt</v>
          </cell>
          <cell r="S24" t="str">
            <v>31202</v>
          </cell>
          <cell r="T24" t="str">
            <v>52</v>
          </cell>
          <cell r="U24" t="str">
            <v>Whisky, Skottland, malt</v>
          </cell>
          <cell r="V24" t="str">
            <v>X</v>
          </cell>
          <cell r="W24" t="str">
            <v>0</v>
          </cell>
          <cell r="X24" t="str">
            <v/>
          </cell>
          <cell r="Y24" t="str">
            <v>Skottland</v>
          </cell>
          <cell r="Z24" t="str">
            <v>Speyside</v>
          </cell>
          <cell r="AA24" t="str">
            <v/>
          </cell>
          <cell r="AB24" t="str">
            <v/>
          </cell>
          <cell r="AC24" t="str">
            <v/>
          </cell>
          <cell r="AD24" t="str">
            <v>62093</v>
          </cell>
          <cell r="AE24" t="str">
            <v>Glen Moray Dist.</v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>0</v>
          </cell>
          <cell r="AS24" t="str">
            <v/>
          </cell>
          <cell r="AT24" t="str">
            <v>0</v>
          </cell>
          <cell r="AU24" t="str">
            <v/>
          </cell>
          <cell r="AV24" t="str">
            <v>0</v>
          </cell>
          <cell r="AW24" t="str">
            <v/>
          </cell>
          <cell r="AX24" t="str">
            <v>0</v>
          </cell>
          <cell r="AY24" t="str">
            <v/>
          </cell>
          <cell r="AZ24" t="str">
            <v>0</v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>0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>03</v>
          </cell>
          <cell r="BY24" t="str">
            <v>Glass</v>
          </cell>
          <cell r="BZ24" t="str">
            <v/>
          </cell>
          <cell r="CA24">
            <v>0</v>
          </cell>
          <cell r="CB24" t="str">
            <v>1</v>
          </cell>
          <cell r="CC24" t="str">
            <v/>
          </cell>
          <cell r="CD24">
            <v>52.8</v>
          </cell>
          <cell r="CE24">
            <v>0.7</v>
          </cell>
          <cell r="CF24" t="str">
            <v/>
          </cell>
          <cell r="CG24" t="str">
            <v>01</v>
          </cell>
          <cell r="CH24" t="str">
            <v>2108,90</v>
          </cell>
          <cell r="CI24">
            <v>45329</v>
          </cell>
          <cell r="CJ24">
            <v>2958465</v>
          </cell>
          <cell r="CK24">
            <v>2299.9</v>
          </cell>
        </row>
        <row r="25">
          <cell r="A25">
            <v>17031501</v>
          </cell>
          <cell r="B25" t="str">
            <v/>
          </cell>
          <cell r="C25" t="str">
            <v>Cognac Frapin 15 Years Old</v>
          </cell>
          <cell r="D25" t="str">
            <v>Cognac Frapin 15 Years Old</v>
          </cell>
          <cell r="E25" t="str">
            <v>Cognac Frapin 15 Years Old</v>
          </cell>
          <cell r="F25">
            <v>45365</v>
          </cell>
          <cell r="G25" t="str">
            <v>31</v>
          </cell>
          <cell r="H25" t="str">
            <v>Spesialutvalg</v>
          </cell>
          <cell r="I25">
            <v>45329</v>
          </cell>
          <cell r="J25">
            <v>2958465</v>
          </cell>
          <cell r="K25"/>
          <cell r="L25" t="str">
            <v/>
          </cell>
          <cell r="M25" t="str">
            <v/>
          </cell>
          <cell r="N25" t="str">
            <v/>
          </cell>
          <cell r="O25"/>
          <cell r="P25" t="str">
            <v>Brennevin</v>
          </cell>
          <cell r="Q25" t="str">
            <v>Druebrennevin</v>
          </cell>
          <cell r="R25" t="str">
            <v>Cognac, brut</v>
          </cell>
          <cell r="S25" t="str">
            <v>30405</v>
          </cell>
          <cell r="T25" t="str">
            <v>44</v>
          </cell>
          <cell r="U25" t="str">
            <v>Cognac</v>
          </cell>
          <cell r="V25" t="str">
            <v>X</v>
          </cell>
          <cell r="W25" t="str">
            <v>0</v>
          </cell>
          <cell r="X25" t="str">
            <v/>
          </cell>
          <cell r="Y25" t="str">
            <v>Frankrike</v>
          </cell>
          <cell r="Z25" t="str">
            <v>Cognac Brut</v>
          </cell>
          <cell r="AA25" t="str">
            <v>Grande Champagne</v>
          </cell>
          <cell r="AB25" t="str">
            <v/>
          </cell>
          <cell r="AC25" t="str">
            <v/>
          </cell>
          <cell r="AD25" t="str">
            <v>65624</v>
          </cell>
          <cell r="AE25" t="str">
            <v>Frapin</v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>0</v>
          </cell>
          <cell r="AS25" t="str">
            <v/>
          </cell>
          <cell r="AT25" t="str">
            <v>0</v>
          </cell>
          <cell r="AU25" t="str">
            <v/>
          </cell>
          <cell r="AV25" t="str">
            <v>0</v>
          </cell>
          <cell r="AW25" t="str">
            <v/>
          </cell>
          <cell r="AX25" t="str">
            <v>0</v>
          </cell>
          <cell r="AY25" t="str">
            <v/>
          </cell>
          <cell r="AZ25" t="str">
            <v>0</v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>1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>03</v>
          </cell>
          <cell r="BY25" t="str">
            <v>Glass</v>
          </cell>
          <cell r="BZ25" t="str">
            <v/>
          </cell>
          <cell r="CA25">
            <v>0</v>
          </cell>
          <cell r="CB25" t="str">
            <v>1</v>
          </cell>
          <cell r="CC25" t="str">
            <v/>
          </cell>
          <cell r="CD25">
            <v>45.3</v>
          </cell>
          <cell r="CE25">
            <v>0.7</v>
          </cell>
          <cell r="CF25" t="str">
            <v/>
          </cell>
          <cell r="CG25" t="str">
            <v>01</v>
          </cell>
          <cell r="CH25" t="str">
            <v>1185,15</v>
          </cell>
          <cell r="CI25">
            <v>45329</v>
          </cell>
          <cell r="CJ25">
            <v>2958465</v>
          </cell>
          <cell r="CK25">
            <v>1299.9000000000001</v>
          </cell>
        </row>
        <row r="26">
          <cell r="A26">
            <v>17031601</v>
          </cell>
          <cell r="B26" t="str">
            <v/>
          </cell>
          <cell r="C26" t="str">
            <v>Old Malt Cask Linkwood 13 YO</v>
          </cell>
          <cell r="D26" t="str">
            <v>Old Malt Cask Linkwood 13 YO</v>
          </cell>
          <cell r="E26" t="str">
            <v>Old Malt Cask Linkwood 13 YO</v>
          </cell>
          <cell r="F26">
            <v>45365</v>
          </cell>
          <cell r="G26" t="str">
            <v>31</v>
          </cell>
          <cell r="H26" t="str">
            <v>Spesialutvalg</v>
          </cell>
          <cell r="I26">
            <v>45329</v>
          </cell>
          <cell r="J26">
            <v>2958465</v>
          </cell>
          <cell r="K26"/>
          <cell r="L26" t="str">
            <v/>
          </cell>
          <cell r="M26" t="str">
            <v/>
          </cell>
          <cell r="N26" t="str">
            <v/>
          </cell>
          <cell r="O26"/>
          <cell r="P26" t="str">
            <v>Brennevin</v>
          </cell>
          <cell r="Q26" t="str">
            <v>Whisky</v>
          </cell>
          <cell r="R26" t="str">
            <v>Whisky, malt</v>
          </cell>
          <cell r="S26" t="str">
            <v>31202</v>
          </cell>
          <cell r="T26" t="str">
            <v>52</v>
          </cell>
          <cell r="U26" t="str">
            <v>Whisky, Skottland, malt</v>
          </cell>
          <cell r="V26" t="str">
            <v>X</v>
          </cell>
          <cell r="W26" t="str">
            <v>0</v>
          </cell>
          <cell r="X26" t="str">
            <v/>
          </cell>
          <cell r="Y26" t="str">
            <v>Skottland</v>
          </cell>
          <cell r="Z26" t="str">
            <v>Speyside</v>
          </cell>
          <cell r="AA26" t="str">
            <v/>
          </cell>
          <cell r="AB26" t="str">
            <v/>
          </cell>
          <cell r="AC26" t="str">
            <v/>
          </cell>
          <cell r="AD26" t="str">
            <v>600636</v>
          </cell>
          <cell r="AE26" t="str">
            <v>Hunter Laing &amp; Co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>0</v>
          </cell>
          <cell r="AS26" t="str">
            <v/>
          </cell>
          <cell r="AT26" t="str">
            <v>0</v>
          </cell>
          <cell r="AU26" t="str">
            <v/>
          </cell>
          <cell r="AV26" t="str">
            <v>0</v>
          </cell>
          <cell r="AW26" t="str">
            <v/>
          </cell>
          <cell r="AX26" t="str">
            <v>0</v>
          </cell>
          <cell r="AY26" t="str">
            <v/>
          </cell>
          <cell r="AZ26" t="str">
            <v>0</v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>0</v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>03</v>
          </cell>
          <cell r="BY26" t="str">
            <v>Glass</v>
          </cell>
          <cell r="BZ26" t="str">
            <v/>
          </cell>
          <cell r="CA26">
            <v>0</v>
          </cell>
          <cell r="CB26" t="str">
            <v>1</v>
          </cell>
          <cell r="CC26" t="str">
            <v/>
          </cell>
          <cell r="CD26">
            <v>50</v>
          </cell>
          <cell r="CE26">
            <v>0.7</v>
          </cell>
          <cell r="CF26" t="str">
            <v/>
          </cell>
          <cell r="CG26" t="str">
            <v>01</v>
          </cell>
          <cell r="CH26" t="str">
            <v>1279,97</v>
          </cell>
          <cell r="CI26">
            <v>45329</v>
          </cell>
          <cell r="CJ26">
            <v>2958465</v>
          </cell>
          <cell r="CK26">
            <v>1399.9</v>
          </cell>
        </row>
        <row r="27">
          <cell r="A27">
            <v>17031701</v>
          </cell>
          <cell r="B27" t="str">
            <v/>
          </cell>
          <cell r="C27" t="str">
            <v>Hepburn's Choice Caol Ila 12 YO</v>
          </cell>
          <cell r="D27" t="str">
            <v>Hepburn's Choice Caol Ila 12 YO</v>
          </cell>
          <cell r="E27" t="str">
            <v>Hepburn's Choice Caol Ila 12 YO</v>
          </cell>
          <cell r="F27">
            <v>45365</v>
          </cell>
          <cell r="G27" t="str">
            <v>31</v>
          </cell>
          <cell r="H27" t="str">
            <v>Spesialutvalg</v>
          </cell>
          <cell r="I27">
            <v>45329</v>
          </cell>
          <cell r="J27">
            <v>2958465</v>
          </cell>
          <cell r="K27"/>
          <cell r="L27" t="str">
            <v/>
          </cell>
          <cell r="M27" t="str">
            <v/>
          </cell>
          <cell r="N27" t="str">
            <v/>
          </cell>
          <cell r="O27"/>
          <cell r="P27" t="str">
            <v>Brennevin</v>
          </cell>
          <cell r="Q27" t="str">
            <v>Whisky</v>
          </cell>
          <cell r="R27" t="str">
            <v>Whisky, malt</v>
          </cell>
          <cell r="S27" t="str">
            <v>31202</v>
          </cell>
          <cell r="T27" t="str">
            <v>52</v>
          </cell>
          <cell r="U27" t="str">
            <v>Whisky, Skottland, malt</v>
          </cell>
          <cell r="V27" t="str">
            <v>X</v>
          </cell>
          <cell r="W27" t="str">
            <v>0</v>
          </cell>
          <cell r="X27" t="str">
            <v/>
          </cell>
          <cell r="Y27" t="str">
            <v>Skottland</v>
          </cell>
          <cell r="Z27" t="str">
            <v>Islay</v>
          </cell>
          <cell r="AA27" t="str">
            <v/>
          </cell>
          <cell r="AB27" t="str">
            <v/>
          </cell>
          <cell r="AC27" t="str">
            <v/>
          </cell>
          <cell r="AD27" t="str">
            <v>600636</v>
          </cell>
          <cell r="AE27" t="str">
            <v>Hunter Laing &amp; Co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>0</v>
          </cell>
          <cell r="AS27" t="str">
            <v/>
          </cell>
          <cell r="AT27" t="str">
            <v>0</v>
          </cell>
          <cell r="AU27" t="str">
            <v/>
          </cell>
          <cell r="AV27" t="str">
            <v>0</v>
          </cell>
          <cell r="AW27" t="str">
            <v/>
          </cell>
          <cell r="AX27" t="str">
            <v>0</v>
          </cell>
          <cell r="AY27" t="str">
            <v/>
          </cell>
          <cell r="AZ27" t="str">
            <v>0</v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>0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>03</v>
          </cell>
          <cell r="BY27" t="str">
            <v>Glass</v>
          </cell>
          <cell r="BZ27" t="str">
            <v/>
          </cell>
          <cell r="CA27">
            <v>0</v>
          </cell>
          <cell r="CB27" t="str">
            <v>1</v>
          </cell>
          <cell r="CC27" t="str">
            <v/>
          </cell>
          <cell r="CD27">
            <v>46</v>
          </cell>
          <cell r="CE27">
            <v>0.7</v>
          </cell>
          <cell r="CF27" t="str">
            <v/>
          </cell>
          <cell r="CG27" t="str">
            <v>01</v>
          </cell>
          <cell r="CH27" t="str">
            <v>1461,31</v>
          </cell>
          <cell r="CI27">
            <v>45329</v>
          </cell>
          <cell r="CJ27">
            <v>2958465</v>
          </cell>
          <cell r="CK27">
            <v>1599.9</v>
          </cell>
        </row>
        <row r="28">
          <cell r="A28">
            <v>17031801</v>
          </cell>
          <cell r="B28" t="str">
            <v/>
          </cell>
          <cell r="C28" t="str">
            <v>Old Malt Cask Glen Keith 30 YO</v>
          </cell>
          <cell r="D28" t="str">
            <v>Old Malt Cask Glen Keith 30 YO</v>
          </cell>
          <cell r="E28" t="str">
            <v>Old Malt Cask Glen Keith 30 YO</v>
          </cell>
          <cell r="F28">
            <v>45365</v>
          </cell>
          <cell r="G28" t="str">
            <v>31</v>
          </cell>
          <cell r="H28" t="str">
            <v>Spesialutvalg</v>
          </cell>
          <cell r="I28">
            <v>45329</v>
          </cell>
          <cell r="J28">
            <v>2958465</v>
          </cell>
          <cell r="K28"/>
          <cell r="L28" t="str">
            <v/>
          </cell>
          <cell r="M28" t="str">
            <v/>
          </cell>
          <cell r="N28" t="str">
            <v/>
          </cell>
          <cell r="O28"/>
          <cell r="P28" t="str">
            <v>Brennevin</v>
          </cell>
          <cell r="Q28" t="str">
            <v>Whisky</v>
          </cell>
          <cell r="R28" t="str">
            <v>Whisky, malt</v>
          </cell>
          <cell r="S28" t="str">
            <v>31202</v>
          </cell>
          <cell r="T28" t="str">
            <v>52</v>
          </cell>
          <cell r="U28" t="str">
            <v>Whisky, Skottland, malt</v>
          </cell>
          <cell r="V28" t="str">
            <v>X</v>
          </cell>
          <cell r="W28" t="str">
            <v>0</v>
          </cell>
          <cell r="X28" t="str">
            <v/>
          </cell>
          <cell r="Y28" t="str">
            <v>Skottland</v>
          </cell>
          <cell r="Z28" t="str">
            <v>Speyside</v>
          </cell>
          <cell r="AA28" t="str">
            <v/>
          </cell>
          <cell r="AB28" t="str">
            <v/>
          </cell>
          <cell r="AC28" t="str">
            <v/>
          </cell>
          <cell r="AD28" t="str">
            <v>600636</v>
          </cell>
          <cell r="AE28" t="str">
            <v>Hunter Laing &amp; Co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>0</v>
          </cell>
          <cell r="AS28" t="str">
            <v/>
          </cell>
          <cell r="AT28" t="str">
            <v>0</v>
          </cell>
          <cell r="AU28" t="str">
            <v/>
          </cell>
          <cell r="AV28" t="str">
            <v>0</v>
          </cell>
          <cell r="AW28" t="str">
            <v/>
          </cell>
          <cell r="AX28" t="str">
            <v>0</v>
          </cell>
          <cell r="AY28" t="str">
            <v/>
          </cell>
          <cell r="AZ28" t="str">
            <v>0</v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>0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>03</v>
          </cell>
          <cell r="BY28" t="str">
            <v>Glass</v>
          </cell>
          <cell r="BZ28" t="str">
            <v/>
          </cell>
          <cell r="CA28">
            <v>0</v>
          </cell>
          <cell r="CB28" t="str">
            <v>1</v>
          </cell>
          <cell r="CC28" t="str">
            <v/>
          </cell>
          <cell r="CD28">
            <v>50</v>
          </cell>
          <cell r="CE28">
            <v>0.7</v>
          </cell>
          <cell r="CF28" t="str">
            <v/>
          </cell>
          <cell r="CG28" t="str">
            <v>01</v>
          </cell>
          <cell r="CH28" t="str">
            <v>4487,40</v>
          </cell>
          <cell r="CI28">
            <v>45329</v>
          </cell>
          <cell r="CJ28">
            <v>2958465</v>
          </cell>
          <cell r="CK28">
            <v>4799.8999999999996</v>
          </cell>
        </row>
        <row r="29">
          <cell r="A29">
            <v>17031901</v>
          </cell>
          <cell r="B29" t="str">
            <v/>
          </cell>
          <cell r="C29" t="str">
            <v>Old Malt Cask Caol Ila 13 YO</v>
          </cell>
          <cell r="D29" t="str">
            <v>Old Malt Cask Caol Ila 13 YO</v>
          </cell>
          <cell r="E29" t="str">
            <v>Old Malt Cask Caol Ila 13 YO</v>
          </cell>
          <cell r="F29">
            <v>45365</v>
          </cell>
          <cell r="G29" t="str">
            <v>31</v>
          </cell>
          <cell r="H29" t="str">
            <v>Spesialutvalg</v>
          </cell>
          <cell r="I29">
            <v>45329</v>
          </cell>
          <cell r="J29">
            <v>2958465</v>
          </cell>
          <cell r="K29"/>
          <cell r="L29" t="str">
            <v/>
          </cell>
          <cell r="M29" t="str">
            <v/>
          </cell>
          <cell r="N29" t="str">
            <v/>
          </cell>
          <cell r="O29"/>
          <cell r="P29" t="str">
            <v>Brennevin</v>
          </cell>
          <cell r="Q29" t="str">
            <v>Whisky</v>
          </cell>
          <cell r="R29" t="str">
            <v>Whisky, malt</v>
          </cell>
          <cell r="S29" t="str">
            <v>31202</v>
          </cell>
          <cell r="T29" t="str">
            <v>52</v>
          </cell>
          <cell r="U29" t="str">
            <v>Whisky, Skottland, malt</v>
          </cell>
          <cell r="V29" t="str">
            <v>X</v>
          </cell>
          <cell r="W29" t="str">
            <v>0</v>
          </cell>
          <cell r="X29" t="str">
            <v/>
          </cell>
          <cell r="Y29" t="str">
            <v>Skottland</v>
          </cell>
          <cell r="Z29" t="str">
            <v>Islay</v>
          </cell>
          <cell r="AA29" t="str">
            <v/>
          </cell>
          <cell r="AB29" t="str">
            <v/>
          </cell>
          <cell r="AC29" t="str">
            <v/>
          </cell>
          <cell r="AD29" t="str">
            <v>600636</v>
          </cell>
          <cell r="AE29" t="str">
            <v>Hunter Laing &amp; Co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>0</v>
          </cell>
          <cell r="AS29" t="str">
            <v/>
          </cell>
          <cell r="AT29" t="str">
            <v>0</v>
          </cell>
          <cell r="AU29" t="str">
            <v/>
          </cell>
          <cell r="AV29" t="str">
            <v>0</v>
          </cell>
          <cell r="AW29" t="str">
            <v/>
          </cell>
          <cell r="AX29" t="str">
            <v>0</v>
          </cell>
          <cell r="AY29" t="str">
            <v/>
          </cell>
          <cell r="AZ29" t="str">
            <v>0</v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>0</v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>03</v>
          </cell>
          <cell r="BY29" t="str">
            <v>Glass</v>
          </cell>
          <cell r="BZ29" t="str">
            <v/>
          </cell>
          <cell r="CA29">
            <v>0</v>
          </cell>
          <cell r="CB29" t="str">
            <v>1</v>
          </cell>
          <cell r="CC29" t="str">
            <v/>
          </cell>
          <cell r="CD29">
            <v>50</v>
          </cell>
          <cell r="CE29">
            <v>0.7</v>
          </cell>
          <cell r="CF29" t="str">
            <v/>
          </cell>
          <cell r="CG29" t="str">
            <v>01</v>
          </cell>
          <cell r="CH29" t="str">
            <v>1739,53</v>
          </cell>
          <cell r="CI29">
            <v>45329</v>
          </cell>
          <cell r="CJ29">
            <v>2958465</v>
          </cell>
          <cell r="CK29">
            <v>1899.9</v>
          </cell>
        </row>
        <row r="30">
          <cell r="A30">
            <v>17032001</v>
          </cell>
          <cell r="B30" t="str">
            <v/>
          </cell>
          <cell r="C30" t="str">
            <v>Hepburn's Choice Craigellachie 13 YO</v>
          </cell>
          <cell r="D30" t="str">
            <v>Hepburn's Choice Craigellachie 13 YO</v>
          </cell>
          <cell r="E30" t="str">
            <v>Hepburn's Choice Craigellachie 13 YO</v>
          </cell>
          <cell r="F30">
            <v>45365</v>
          </cell>
          <cell r="G30" t="str">
            <v>31</v>
          </cell>
          <cell r="H30" t="str">
            <v>Spesialutvalg</v>
          </cell>
          <cell r="I30">
            <v>45329</v>
          </cell>
          <cell r="J30">
            <v>2958465</v>
          </cell>
          <cell r="K30"/>
          <cell r="L30" t="str">
            <v/>
          </cell>
          <cell r="M30" t="str">
            <v/>
          </cell>
          <cell r="N30" t="str">
            <v/>
          </cell>
          <cell r="O30"/>
          <cell r="P30" t="str">
            <v>Brennevin</v>
          </cell>
          <cell r="Q30" t="str">
            <v>Whisky</v>
          </cell>
          <cell r="R30" t="str">
            <v>Whisky, malt</v>
          </cell>
          <cell r="S30" t="str">
            <v>31202</v>
          </cell>
          <cell r="T30" t="str">
            <v>52</v>
          </cell>
          <cell r="U30" t="str">
            <v>Whisky, Skottland, malt</v>
          </cell>
          <cell r="V30" t="str">
            <v>X</v>
          </cell>
          <cell r="W30" t="str">
            <v>0</v>
          </cell>
          <cell r="X30" t="str">
            <v/>
          </cell>
          <cell r="Y30" t="str">
            <v>Skottland</v>
          </cell>
          <cell r="Z30" t="str">
            <v>Speyside</v>
          </cell>
          <cell r="AA30" t="str">
            <v/>
          </cell>
          <cell r="AB30" t="str">
            <v/>
          </cell>
          <cell r="AC30" t="str">
            <v/>
          </cell>
          <cell r="AD30" t="str">
            <v>600636</v>
          </cell>
          <cell r="AE30" t="str">
            <v>Hunter Laing &amp; Co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>0</v>
          </cell>
          <cell r="AS30" t="str">
            <v/>
          </cell>
          <cell r="AT30" t="str">
            <v>0</v>
          </cell>
          <cell r="AU30" t="str">
            <v/>
          </cell>
          <cell r="AV30" t="str">
            <v>0</v>
          </cell>
          <cell r="AW30" t="str">
            <v/>
          </cell>
          <cell r="AX30" t="str">
            <v>0</v>
          </cell>
          <cell r="AY30" t="str">
            <v/>
          </cell>
          <cell r="AZ30" t="str">
            <v>0</v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>0</v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>03</v>
          </cell>
          <cell r="BY30" t="str">
            <v>Glass</v>
          </cell>
          <cell r="BZ30" t="str">
            <v/>
          </cell>
          <cell r="CA30">
            <v>0</v>
          </cell>
          <cell r="CB30" t="str">
            <v>1</v>
          </cell>
          <cell r="CC30" t="str">
            <v/>
          </cell>
          <cell r="CD30">
            <v>46</v>
          </cell>
          <cell r="CE30">
            <v>0.7</v>
          </cell>
          <cell r="CF30" t="str">
            <v/>
          </cell>
          <cell r="CG30" t="str">
            <v>01</v>
          </cell>
          <cell r="CH30" t="str">
            <v>955,80</v>
          </cell>
          <cell r="CI30">
            <v>45329</v>
          </cell>
          <cell r="CJ30">
            <v>2958465</v>
          </cell>
          <cell r="CK30">
            <v>1049.9000000000001</v>
          </cell>
        </row>
        <row r="31">
          <cell r="A31">
            <v>17032504</v>
          </cell>
          <cell r="B31" t="str">
            <v/>
          </cell>
          <cell r="C31" t="str">
            <v>Talisker Special Release</v>
          </cell>
          <cell r="D31" t="str">
            <v>Talisker Special Release</v>
          </cell>
          <cell r="E31" t="str">
            <v>Talisker Special Release</v>
          </cell>
          <cell r="F31">
            <v>45365</v>
          </cell>
          <cell r="G31" t="str">
            <v>31</v>
          </cell>
          <cell r="H31" t="str">
            <v>Spesialutvalg</v>
          </cell>
          <cell r="I31">
            <v>45365</v>
          </cell>
          <cell r="J31">
            <v>2958465</v>
          </cell>
          <cell r="K31"/>
          <cell r="L31" t="str">
            <v/>
          </cell>
          <cell r="M31" t="str">
            <v/>
          </cell>
          <cell r="N31" t="str">
            <v/>
          </cell>
          <cell r="O31"/>
          <cell r="P31" t="str">
            <v>Brennevin</v>
          </cell>
          <cell r="Q31" t="str">
            <v>Whisky</v>
          </cell>
          <cell r="R31" t="str">
            <v>Whisky, malt</v>
          </cell>
          <cell r="S31" t="str">
            <v>31202</v>
          </cell>
          <cell r="T31" t="str">
            <v>52</v>
          </cell>
          <cell r="U31" t="str">
            <v>Whisky, Skottland, malt</v>
          </cell>
          <cell r="V31" t="str">
            <v>X</v>
          </cell>
          <cell r="W31" t="str">
            <v>0</v>
          </cell>
          <cell r="X31" t="str">
            <v/>
          </cell>
          <cell r="Y31" t="str">
            <v>Skottland</v>
          </cell>
          <cell r="Z31" t="str">
            <v>Skye</v>
          </cell>
          <cell r="AA31" t="str">
            <v/>
          </cell>
          <cell r="AB31" t="str">
            <v/>
          </cell>
          <cell r="AC31" t="str">
            <v/>
          </cell>
          <cell r="AD31" t="str">
            <v>61768</v>
          </cell>
          <cell r="AE31" t="str">
            <v>Diageo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>0</v>
          </cell>
          <cell r="AS31" t="str">
            <v/>
          </cell>
          <cell r="AT31" t="str">
            <v>0</v>
          </cell>
          <cell r="AU31" t="str">
            <v/>
          </cell>
          <cell r="AV31" t="str">
            <v>0</v>
          </cell>
          <cell r="AW31" t="str">
            <v/>
          </cell>
          <cell r="AX31" t="str">
            <v>0</v>
          </cell>
          <cell r="AY31" t="str">
            <v/>
          </cell>
          <cell r="AZ31" t="str">
            <v>0</v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>0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>03</v>
          </cell>
          <cell r="BY31" t="str">
            <v>Glass</v>
          </cell>
          <cell r="BZ31" t="str">
            <v/>
          </cell>
          <cell r="CA31">
            <v>0</v>
          </cell>
          <cell r="CB31" t="str">
            <v>1</v>
          </cell>
          <cell r="CC31" t="str">
            <v/>
          </cell>
          <cell r="CD31">
            <v>59.7</v>
          </cell>
          <cell r="CE31">
            <v>0.2</v>
          </cell>
          <cell r="CF31" t="str">
            <v/>
          </cell>
          <cell r="CG31" t="str">
            <v>04</v>
          </cell>
          <cell r="CH31" t="str">
            <v>469,12</v>
          </cell>
          <cell r="CI31">
            <v>45330</v>
          </cell>
          <cell r="CJ31">
            <v>2958465</v>
          </cell>
          <cell r="CK31">
            <v>514.29999999999995</v>
          </cell>
        </row>
        <row r="32">
          <cell r="A32">
            <v>17032601</v>
          </cell>
          <cell r="B32" t="str">
            <v/>
          </cell>
          <cell r="C32" t="str">
            <v>Talisker Special Release</v>
          </cell>
          <cell r="D32" t="str">
            <v>Talisker Special Release</v>
          </cell>
          <cell r="E32" t="str">
            <v>Talisker Special Release</v>
          </cell>
          <cell r="F32">
            <v>45365</v>
          </cell>
          <cell r="G32" t="str">
            <v>31</v>
          </cell>
          <cell r="H32" t="str">
            <v>Spesialutvalg</v>
          </cell>
          <cell r="I32">
            <v>45365</v>
          </cell>
          <cell r="J32">
            <v>2958465</v>
          </cell>
          <cell r="K32"/>
          <cell r="L32" t="str">
            <v/>
          </cell>
          <cell r="M32" t="str">
            <v/>
          </cell>
          <cell r="N32" t="str">
            <v/>
          </cell>
          <cell r="O32"/>
          <cell r="P32" t="str">
            <v>Brennevin</v>
          </cell>
          <cell r="Q32" t="str">
            <v>Whisky</v>
          </cell>
          <cell r="R32" t="str">
            <v>Whisky, malt</v>
          </cell>
          <cell r="S32" t="str">
            <v>31202</v>
          </cell>
          <cell r="T32" t="str">
            <v>52</v>
          </cell>
          <cell r="U32" t="str">
            <v>Whisky, Skottland, malt</v>
          </cell>
          <cell r="V32" t="str">
            <v>X</v>
          </cell>
          <cell r="W32" t="str">
            <v>0</v>
          </cell>
          <cell r="X32" t="str">
            <v/>
          </cell>
          <cell r="Y32" t="str">
            <v>Skottland</v>
          </cell>
          <cell r="Z32" t="str">
            <v>Skye</v>
          </cell>
          <cell r="AA32" t="str">
            <v/>
          </cell>
          <cell r="AB32" t="str">
            <v/>
          </cell>
          <cell r="AC32" t="str">
            <v/>
          </cell>
          <cell r="AD32" t="str">
            <v>61768</v>
          </cell>
          <cell r="AE32" t="str">
            <v>Diageo</v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>0</v>
          </cell>
          <cell r="AS32" t="str">
            <v/>
          </cell>
          <cell r="AT32" t="str">
            <v>0</v>
          </cell>
          <cell r="AU32" t="str">
            <v/>
          </cell>
          <cell r="AV32" t="str">
            <v>0</v>
          </cell>
          <cell r="AW32" t="str">
            <v/>
          </cell>
          <cell r="AX32" t="str">
            <v>0</v>
          </cell>
          <cell r="AY32" t="str">
            <v/>
          </cell>
          <cell r="AZ32" t="str">
            <v>0</v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>0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>03</v>
          </cell>
          <cell r="BY32" t="str">
            <v>Glass</v>
          </cell>
          <cell r="BZ32" t="str">
            <v/>
          </cell>
          <cell r="CA32">
            <v>0</v>
          </cell>
          <cell r="CB32" t="str">
            <v>1</v>
          </cell>
          <cell r="CC32" t="str">
            <v/>
          </cell>
          <cell r="CD32">
            <v>59.7</v>
          </cell>
          <cell r="CE32">
            <v>0.7</v>
          </cell>
          <cell r="CF32" t="str">
            <v/>
          </cell>
          <cell r="CG32" t="str">
            <v>01</v>
          </cell>
          <cell r="CH32" t="str">
            <v>1561,77</v>
          </cell>
          <cell r="CI32">
            <v>45330</v>
          </cell>
          <cell r="CJ32">
            <v>2958465</v>
          </cell>
          <cell r="CK32">
            <v>1680.3</v>
          </cell>
        </row>
        <row r="33">
          <cell r="A33">
            <v>17032701</v>
          </cell>
          <cell r="B33" t="str">
            <v/>
          </cell>
          <cell r="C33" t="str">
            <v>Singelton of Glendullan 14 YO SR</v>
          </cell>
          <cell r="D33" t="str">
            <v>Singelton of Glendullan 14 YO SR</v>
          </cell>
          <cell r="E33" t="str">
            <v>Singelton of Glendullan 14 YO SR</v>
          </cell>
          <cell r="F33">
            <v>45365</v>
          </cell>
          <cell r="G33" t="str">
            <v>31</v>
          </cell>
          <cell r="H33" t="str">
            <v>Spesialutvalg</v>
          </cell>
          <cell r="I33">
            <v>45365</v>
          </cell>
          <cell r="J33">
            <v>2958465</v>
          </cell>
          <cell r="K33"/>
          <cell r="L33" t="str">
            <v/>
          </cell>
          <cell r="M33" t="str">
            <v/>
          </cell>
          <cell r="N33" t="str">
            <v/>
          </cell>
          <cell r="O33"/>
          <cell r="P33" t="str">
            <v>Brennevin</v>
          </cell>
          <cell r="Q33" t="str">
            <v>Whisky</v>
          </cell>
          <cell r="R33" t="str">
            <v>Whisky, malt</v>
          </cell>
          <cell r="S33" t="str">
            <v>31202</v>
          </cell>
          <cell r="T33" t="str">
            <v>52</v>
          </cell>
          <cell r="U33" t="str">
            <v>Whisky, Skottland, malt</v>
          </cell>
          <cell r="V33" t="str">
            <v>X</v>
          </cell>
          <cell r="W33" t="str">
            <v>0</v>
          </cell>
          <cell r="X33" t="str">
            <v/>
          </cell>
          <cell r="Y33" t="str">
            <v>Skottland</v>
          </cell>
          <cell r="Z33" t="str">
            <v>Speyside</v>
          </cell>
          <cell r="AA33" t="str">
            <v/>
          </cell>
          <cell r="AB33" t="str">
            <v/>
          </cell>
          <cell r="AC33" t="str">
            <v/>
          </cell>
          <cell r="AD33" t="str">
            <v>61768</v>
          </cell>
          <cell r="AE33" t="str">
            <v>Diageo</v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>0</v>
          </cell>
          <cell r="AS33" t="str">
            <v/>
          </cell>
          <cell r="AT33" t="str">
            <v>0</v>
          </cell>
          <cell r="AU33" t="str">
            <v/>
          </cell>
          <cell r="AV33" t="str">
            <v>0</v>
          </cell>
          <cell r="AW33" t="str">
            <v/>
          </cell>
          <cell r="AX33" t="str">
            <v>0</v>
          </cell>
          <cell r="AY33" t="str">
            <v/>
          </cell>
          <cell r="AZ33" t="str">
            <v>0</v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>0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>03</v>
          </cell>
          <cell r="BY33" t="str">
            <v>Glass</v>
          </cell>
          <cell r="BZ33" t="str">
            <v/>
          </cell>
          <cell r="CA33">
            <v>0</v>
          </cell>
          <cell r="CB33" t="str">
            <v>1</v>
          </cell>
          <cell r="CC33" t="str">
            <v/>
          </cell>
          <cell r="CD33">
            <v>55</v>
          </cell>
          <cell r="CE33">
            <v>0.7</v>
          </cell>
          <cell r="CF33" t="str">
            <v/>
          </cell>
          <cell r="CG33" t="str">
            <v>01</v>
          </cell>
          <cell r="CH33" t="str">
            <v>1455,35</v>
          </cell>
          <cell r="CI33">
            <v>45330</v>
          </cell>
          <cell r="CJ33">
            <v>2958465</v>
          </cell>
          <cell r="CK33">
            <v>1567.7</v>
          </cell>
        </row>
        <row r="34">
          <cell r="A34">
            <v>17032804</v>
          </cell>
          <cell r="B34" t="str">
            <v/>
          </cell>
          <cell r="C34" t="str">
            <v>Singelton of Glendullan 14 YO SR</v>
          </cell>
          <cell r="D34" t="str">
            <v>Singelton of Glendullan 14 YO SR</v>
          </cell>
          <cell r="E34" t="str">
            <v>Singelton of Glendullan 14 YO SR</v>
          </cell>
          <cell r="F34">
            <v>45365</v>
          </cell>
          <cell r="G34" t="str">
            <v>31</v>
          </cell>
          <cell r="H34" t="str">
            <v>Spesialutvalg</v>
          </cell>
          <cell r="I34">
            <v>45365</v>
          </cell>
          <cell r="J34">
            <v>2958465</v>
          </cell>
          <cell r="K34"/>
          <cell r="L34" t="str">
            <v/>
          </cell>
          <cell r="M34" t="str">
            <v/>
          </cell>
          <cell r="N34" t="str">
            <v/>
          </cell>
          <cell r="O34"/>
          <cell r="P34" t="str">
            <v>Brennevin</v>
          </cell>
          <cell r="Q34" t="str">
            <v>Whisky</v>
          </cell>
          <cell r="R34" t="str">
            <v>Whisky, malt</v>
          </cell>
          <cell r="S34" t="str">
            <v>31202</v>
          </cell>
          <cell r="T34" t="str">
            <v>52</v>
          </cell>
          <cell r="U34" t="str">
            <v>Whisky, Skottland, malt</v>
          </cell>
          <cell r="V34" t="str">
            <v>X</v>
          </cell>
          <cell r="W34" t="str">
            <v>0</v>
          </cell>
          <cell r="X34" t="str">
            <v/>
          </cell>
          <cell r="Y34" t="str">
            <v>Skottland</v>
          </cell>
          <cell r="Z34" t="str">
            <v>Speyside</v>
          </cell>
          <cell r="AA34" t="str">
            <v/>
          </cell>
          <cell r="AB34" t="str">
            <v/>
          </cell>
          <cell r="AC34" t="str">
            <v/>
          </cell>
          <cell r="AD34" t="str">
            <v>61768</v>
          </cell>
          <cell r="AE34" t="str">
            <v>Diageo</v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0</v>
          </cell>
          <cell r="AS34" t="str">
            <v/>
          </cell>
          <cell r="AT34" t="str">
            <v>0</v>
          </cell>
          <cell r="AU34" t="str">
            <v/>
          </cell>
          <cell r="AV34" t="str">
            <v>0</v>
          </cell>
          <cell r="AW34" t="str">
            <v/>
          </cell>
          <cell r="AX34" t="str">
            <v>0</v>
          </cell>
          <cell r="AY34" t="str">
            <v/>
          </cell>
          <cell r="AZ34" t="str">
            <v>0</v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>0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>03</v>
          </cell>
          <cell r="BY34" t="str">
            <v>Glass</v>
          </cell>
          <cell r="BZ34" t="str">
            <v/>
          </cell>
          <cell r="CA34">
            <v>0</v>
          </cell>
          <cell r="CB34" t="str">
            <v>1</v>
          </cell>
          <cell r="CC34" t="str">
            <v/>
          </cell>
          <cell r="CD34">
            <v>55</v>
          </cell>
          <cell r="CE34">
            <v>0.2</v>
          </cell>
          <cell r="CF34" t="str">
            <v/>
          </cell>
          <cell r="CG34" t="str">
            <v>04</v>
          </cell>
          <cell r="CH34" t="str">
            <v>523,44</v>
          </cell>
          <cell r="CI34">
            <v>45330</v>
          </cell>
          <cell r="CJ34">
            <v>2958465</v>
          </cell>
          <cell r="CK34">
            <v>574.29999999999995</v>
          </cell>
        </row>
        <row r="35">
          <cell r="A35">
            <v>17032904</v>
          </cell>
          <cell r="B35" t="str">
            <v/>
          </cell>
          <cell r="C35" t="str">
            <v>Lagavulin 12 YO SR</v>
          </cell>
          <cell r="D35" t="str">
            <v>Lagavulin 12 YO SR</v>
          </cell>
          <cell r="E35" t="str">
            <v>Lagavulin 12 YO SR</v>
          </cell>
          <cell r="F35">
            <v>45365</v>
          </cell>
          <cell r="G35" t="str">
            <v>31</v>
          </cell>
          <cell r="H35" t="str">
            <v>Spesialutvalg</v>
          </cell>
          <cell r="I35">
            <v>45365</v>
          </cell>
          <cell r="J35">
            <v>2958465</v>
          </cell>
          <cell r="K35"/>
          <cell r="L35" t="str">
            <v/>
          </cell>
          <cell r="M35" t="str">
            <v/>
          </cell>
          <cell r="N35" t="str">
            <v/>
          </cell>
          <cell r="O35"/>
          <cell r="P35" t="str">
            <v>Brennevin</v>
          </cell>
          <cell r="Q35" t="str">
            <v>Whisky</v>
          </cell>
          <cell r="R35" t="str">
            <v>Whisky, malt</v>
          </cell>
          <cell r="S35" t="str">
            <v>31202</v>
          </cell>
          <cell r="T35" t="str">
            <v>52</v>
          </cell>
          <cell r="U35" t="str">
            <v>Whisky, Skottland, malt</v>
          </cell>
          <cell r="V35" t="str">
            <v>X</v>
          </cell>
          <cell r="W35" t="str">
            <v>0</v>
          </cell>
          <cell r="X35" t="str">
            <v/>
          </cell>
          <cell r="Y35" t="str">
            <v>Skottland</v>
          </cell>
          <cell r="Z35" t="str">
            <v>Islay</v>
          </cell>
          <cell r="AA35" t="str">
            <v/>
          </cell>
          <cell r="AB35" t="str">
            <v/>
          </cell>
          <cell r="AC35" t="str">
            <v/>
          </cell>
          <cell r="AD35" t="str">
            <v>61768</v>
          </cell>
          <cell r="AE35" t="str">
            <v>Diageo</v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>0</v>
          </cell>
          <cell r="AS35" t="str">
            <v/>
          </cell>
          <cell r="AT35" t="str">
            <v>0</v>
          </cell>
          <cell r="AU35" t="str">
            <v/>
          </cell>
          <cell r="AV35" t="str">
            <v>0</v>
          </cell>
          <cell r="AW35" t="str">
            <v/>
          </cell>
          <cell r="AX35" t="str">
            <v>0</v>
          </cell>
          <cell r="AY35" t="str">
            <v/>
          </cell>
          <cell r="AZ35" t="str">
            <v>0</v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>0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>03</v>
          </cell>
          <cell r="BY35" t="str">
            <v>Glass</v>
          </cell>
          <cell r="BZ35" t="str">
            <v/>
          </cell>
          <cell r="CA35">
            <v>0</v>
          </cell>
          <cell r="CB35" t="str">
            <v>1</v>
          </cell>
          <cell r="CC35" t="str">
            <v/>
          </cell>
          <cell r="CD35">
            <v>56.4</v>
          </cell>
          <cell r="CE35">
            <v>0.2</v>
          </cell>
          <cell r="CF35" t="str">
            <v/>
          </cell>
          <cell r="CG35" t="str">
            <v>04</v>
          </cell>
          <cell r="CH35" t="str">
            <v>707,52</v>
          </cell>
          <cell r="CI35">
            <v>45330</v>
          </cell>
          <cell r="CJ35">
            <v>2958465</v>
          </cell>
          <cell r="CK35">
            <v>774.3</v>
          </cell>
        </row>
        <row r="36">
          <cell r="A36">
            <v>17033001</v>
          </cell>
          <cell r="B36" t="str">
            <v/>
          </cell>
          <cell r="C36" t="str">
            <v>Oban 11 YO SR</v>
          </cell>
          <cell r="D36" t="str">
            <v>Oban 11 YO SR</v>
          </cell>
          <cell r="E36" t="str">
            <v>Oban 11 YO SR</v>
          </cell>
          <cell r="F36">
            <v>45365</v>
          </cell>
          <cell r="G36" t="str">
            <v>31</v>
          </cell>
          <cell r="H36" t="str">
            <v>Spesialutvalg</v>
          </cell>
          <cell r="I36">
            <v>45365</v>
          </cell>
          <cell r="J36">
            <v>2958465</v>
          </cell>
          <cell r="K36"/>
          <cell r="L36" t="str">
            <v/>
          </cell>
          <cell r="M36" t="str">
            <v/>
          </cell>
          <cell r="N36" t="str">
            <v/>
          </cell>
          <cell r="O36"/>
          <cell r="P36" t="str">
            <v>Brennevin</v>
          </cell>
          <cell r="Q36" t="str">
            <v>Whisky</v>
          </cell>
          <cell r="R36" t="str">
            <v>Whisky, malt</v>
          </cell>
          <cell r="S36" t="str">
            <v>31202</v>
          </cell>
          <cell r="T36" t="str">
            <v>52</v>
          </cell>
          <cell r="U36" t="str">
            <v>Whisky, Skottland, malt</v>
          </cell>
          <cell r="V36" t="str">
            <v>X</v>
          </cell>
          <cell r="W36" t="str">
            <v>0</v>
          </cell>
          <cell r="X36" t="str">
            <v/>
          </cell>
          <cell r="Y36" t="str">
            <v>Skottland</v>
          </cell>
          <cell r="Z36" t="str">
            <v>Highland</v>
          </cell>
          <cell r="AA36" t="str">
            <v>Øvrige</v>
          </cell>
          <cell r="AB36" t="str">
            <v/>
          </cell>
          <cell r="AC36" t="str">
            <v/>
          </cell>
          <cell r="AD36" t="str">
            <v>61768</v>
          </cell>
          <cell r="AE36" t="str">
            <v>Diageo</v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>0</v>
          </cell>
          <cell r="AS36" t="str">
            <v/>
          </cell>
          <cell r="AT36" t="str">
            <v>0</v>
          </cell>
          <cell r="AU36" t="str">
            <v/>
          </cell>
          <cell r="AV36" t="str">
            <v>0</v>
          </cell>
          <cell r="AW36" t="str">
            <v/>
          </cell>
          <cell r="AX36" t="str">
            <v>0</v>
          </cell>
          <cell r="AY36" t="str">
            <v/>
          </cell>
          <cell r="AZ36" t="str">
            <v>0</v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>0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>03</v>
          </cell>
          <cell r="BY36" t="str">
            <v>Glass</v>
          </cell>
          <cell r="BZ36" t="str">
            <v/>
          </cell>
          <cell r="CA36">
            <v>0</v>
          </cell>
          <cell r="CB36" t="str">
            <v>1</v>
          </cell>
          <cell r="CC36" t="str">
            <v/>
          </cell>
          <cell r="CD36">
            <v>58</v>
          </cell>
          <cell r="CE36">
            <v>0.7</v>
          </cell>
          <cell r="CF36" t="str">
            <v/>
          </cell>
          <cell r="CG36" t="str">
            <v>01</v>
          </cell>
          <cell r="CH36" t="str">
            <v>1744,54</v>
          </cell>
          <cell r="CI36">
            <v>45330</v>
          </cell>
          <cell r="CJ36">
            <v>2958465</v>
          </cell>
          <cell r="CK36">
            <v>1880.3</v>
          </cell>
        </row>
        <row r="37">
          <cell r="A37">
            <v>17033101</v>
          </cell>
          <cell r="B37" t="str">
            <v/>
          </cell>
          <cell r="C37" t="str">
            <v>Lagavulin 12 YO SR</v>
          </cell>
          <cell r="D37" t="str">
            <v>Lagavulin 12 YO SR</v>
          </cell>
          <cell r="E37" t="str">
            <v>Lagavulin 12 YO SR</v>
          </cell>
          <cell r="F37">
            <v>45365</v>
          </cell>
          <cell r="G37" t="str">
            <v>31</v>
          </cell>
          <cell r="H37" t="str">
            <v>Spesialutvalg</v>
          </cell>
          <cell r="I37">
            <v>45365</v>
          </cell>
          <cell r="J37">
            <v>2958465</v>
          </cell>
          <cell r="K37"/>
          <cell r="L37" t="str">
            <v/>
          </cell>
          <cell r="M37" t="str">
            <v/>
          </cell>
          <cell r="N37" t="str">
            <v/>
          </cell>
          <cell r="O37"/>
          <cell r="P37" t="str">
            <v>Brennevin</v>
          </cell>
          <cell r="Q37" t="str">
            <v>Whisky</v>
          </cell>
          <cell r="R37" t="str">
            <v>Whisky, malt</v>
          </cell>
          <cell r="S37" t="str">
            <v>31202</v>
          </cell>
          <cell r="T37" t="str">
            <v>52</v>
          </cell>
          <cell r="U37" t="str">
            <v>Whisky, Skottland, malt</v>
          </cell>
          <cell r="V37" t="str">
            <v>X</v>
          </cell>
          <cell r="W37" t="str">
            <v>0</v>
          </cell>
          <cell r="X37" t="str">
            <v/>
          </cell>
          <cell r="Y37" t="str">
            <v>Skottland</v>
          </cell>
          <cell r="Z37" t="str">
            <v>Islay</v>
          </cell>
          <cell r="AA37" t="str">
            <v/>
          </cell>
          <cell r="AB37" t="str">
            <v/>
          </cell>
          <cell r="AC37" t="str">
            <v/>
          </cell>
          <cell r="AD37" t="str">
            <v>61768</v>
          </cell>
          <cell r="AE37" t="str">
            <v>Diageo</v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>0</v>
          </cell>
          <cell r="AS37" t="str">
            <v/>
          </cell>
          <cell r="AT37" t="str">
            <v>0</v>
          </cell>
          <cell r="AU37" t="str">
            <v/>
          </cell>
          <cell r="AV37" t="str">
            <v>0</v>
          </cell>
          <cell r="AW37" t="str">
            <v/>
          </cell>
          <cell r="AX37" t="str">
            <v>0</v>
          </cell>
          <cell r="AY37" t="str">
            <v/>
          </cell>
          <cell r="AZ37" t="str">
            <v>0</v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>0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>03</v>
          </cell>
          <cell r="BY37" t="str">
            <v>Glass</v>
          </cell>
          <cell r="BZ37" t="str">
            <v/>
          </cell>
          <cell r="CA37">
            <v>0</v>
          </cell>
          <cell r="CB37" t="str">
            <v>1</v>
          </cell>
          <cell r="CC37" t="str">
            <v/>
          </cell>
          <cell r="CD37">
            <v>56.4</v>
          </cell>
          <cell r="CE37">
            <v>0.7</v>
          </cell>
          <cell r="CF37" t="str">
            <v/>
          </cell>
          <cell r="CG37" t="str">
            <v>01</v>
          </cell>
          <cell r="CH37" t="str">
            <v>2019,28</v>
          </cell>
          <cell r="CI37">
            <v>45330</v>
          </cell>
          <cell r="CJ37">
            <v>2958465</v>
          </cell>
          <cell r="CK37">
            <v>2156.8000000000002</v>
          </cell>
        </row>
        <row r="38">
          <cell r="A38">
            <v>17033201</v>
          </cell>
          <cell r="B38" t="str">
            <v/>
          </cell>
          <cell r="C38" t="str">
            <v>Clynelish 10 YO SR</v>
          </cell>
          <cell r="D38" t="str">
            <v>Clynelish 10 YO SR</v>
          </cell>
          <cell r="E38" t="str">
            <v>Clynelish 10 YO SR</v>
          </cell>
          <cell r="F38">
            <v>45365</v>
          </cell>
          <cell r="G38" t="str">
            <v>31</v>
          </cell>
          <cell r="H38" t="str">
            <v>Spesialutvalg</v>
          </cell>
          <cell r="I38">
            <v>45365</v>
          </cell>
          <cell r="J38">
            <v>2958465</v>
          </cell>
          <cell r="K38"/>
          <cell r="L38" t="str">
            <v/>
          </cell>
          <cell r="M38" t="str">
            <v/>
          </cell>
          <cell r="N38" t="str">
            <v/>
          </cell>
          <cell r="O38"/>
          <cell r="P38" t="str">
            <v>Brennevin</v>
          </cell>
          <cell r="Q38" t="str">
            <v>Whisky</v>
          </cell>
          <cell r="R38" t="str">
            <v>Whisky, malt</v>
          </cell>
          <cell r="S38" t="str">
            <v>31202</v>
          </cell>
          <cell r="T38" t="str">
            <v>52</v>
          </cell>
          <cell r="U38" t="str">
            <v>Whisky, Skottland, malt</v>
          </cell>
          <cell r="V38" t="str">
            <v>X</v>
          </cell>
          <cell r="W38" t="str">
            <v>0</v>
          </cell>
          <cell r="X38" t="str">
            <v/>
          </cell>
          <cell r="Y38" t="str">
            <v>Skottland</v>
          </cell>
          <cell r="Z38" t="str">
            <v>Highland</v>
          </cell>
          <cell r="AA38" t="str">
            <v>Øvrige</v>
          </cell>
          <cell r="AB38" t="str">
            <v/>
          </cell>
          <cell r="AC38" t="str">
            <v/>
          </cell>
          <cell r="AD38" t="str">
            <v>61768</v>
          </cell>
          <cell r="AE38" t="str">
            <v>Diageo</v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>0</v>
          </cell>
          <cell r="AS38" t="str">
            <v/>
          </cell>
          <cell r="AT38" t="str">
            <v>0</v>
          </cell>
          <cell r="AU38" t="str">
            <v/>
          </cell>
          <cell r="AV38" t="str">
            <v>0</v>
          </cell>
          <cell r="AW38" t="str">
            <v/>
          </cell>
          <cell r="AX38" t="str">
            <v>0</v>
          </cell>
          <cell r="AY38" t="str">
            <v/>
          </cell>
          <cell r="AZ38" t="str">
            <v>0</v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>0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>03</v>
          </cell>
          <cell r="BY38" t="str">
            <v>Glass</v>
          </cell>
          <cell r="BZ38" t="str">
            <v/>
          </cell>
          <cell r="CA38">
            <v>0</v>
          </cell>
          <cell r="CB38" t="str">
            <v>1</v>
          </cell>
          <cell r="CC38" t="str">
            <v/>
          </cell>
          <cell r="CD38">
            <v>57.5</v>
          </cell>
          <cell r="CE38">
            <v>0.7</v>
          </cell>
          <cell r="CF38" t="str">
            <v/>
          </cell>
          <cell r="CG38" t="str">
            <v>01</v>
          </cell>
          <cell r="CH38" t="str">
            <v>1928,05</v>
          </cell>
          <cell r="CI38">
            <v>45330</v>
          </cell>
          <cell r="CJ38">
            <v>2958465</v>
          </cell>
          <cell r="CK38">
            <v>2065.6</v>
          </cell>
        </row>
        <row r="39">
          <cell r="A39">
            <v>17033301</v>
          </cell>
          <cell r="B39" t="str">
            <v/>
          </cell>
          <cell r="C39" t="str">
            <v>Glenkinchie 27 YO</v>
          </cell>
          <cell r="D39" t="str">
            <v>Glenkinchie 27 YO</v>
          </cell>
          <cell r="E39" t="str">
            <v>Glenkinchie 27 YO</v>
          </cell>
          <cell r="F39">
            <v>45365</v>
          </cell>
          <cell r="G39" t="str">
            <v>31</v>
          </cell>
          <cell r="H39" t="str">
            <v>Spesialutvalg</v>
          </cell>
          <cell r="I39">
            <v>45365</v>
          </cell>
          <cell r="J39">
            <v>2958465</v>
          </cell>
          <cell r="K39"/>
          <cell r="L39" t="str">
            <v/>
          </cell>
          <cell r="M39" t="str">
            <v/>
          </cell>
          <cell r="N39" t="str">
            <v/>
          </cell>
          <cell r="O39"/>
          <cell r="P39" t="str">
            <v>Brennevin</v>
          </cell>
          <cell r="Q39" t="str">
            <v>Whisky</v>
          </cell>
          <cell r="R39" t="str">
            <v>Whisky, malt</v>
          </cell>
          <cell r="S39" t="str">
            <v>31202</v>
          </cell>
          <cell r="T39" t="str">
            <v>52</v>
          </cell>
          <cell r="U39" t="str">
            <v>Whisky, Skottland, malt</v>
          </cell>
          <cell r="V39" t="str">
            <v>X</v>
          </cell>
          <cell r="W39" t="str">
            <v>0</v>
          </cell>
          <cell r="X39" t="str">
            <v/>
          </cell>
          <cell r="Y39" t="str">
            <v>Skottland</v>
          </cell>
          <cell r="Z39" t="str">
            <v>Lowland</v>
          </cell>
          <cell r="AA39" t="str">
            <v/>
          </cell>
          <cell r="AB39" t="str">
            <v/>
          </cell>
          <cell r="AC39" t="str">
            <v/>
          </cell>
          <cell r="AD39" t="str">
            <v>61768</v>
          </cell>
          <cell r="AE39" t="str">
            <v>Diageo</v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>0</v>
          </cell>
          <cell r="AS39" t="str">
            <v/>
          </cell>
          <cell r="AT39" t="str">
            <v>0</v>
          </cell>
          <cell r="AU39" t="str">
            <v/>
          </cell>
          <cell r="AV39" t="str">
            <v>0</v>
          </cell>
          <cell r="AW39" t="str">
            <v/>
          </cell>
          <cell r="AX39" t="str">
            <v>0</v>
          </cell>
          <cell r="AY39" t="str">
            <v/>
          </cell>
          <cell r="AZ39" t="str">
            <v>0</v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>0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>03</v>
          </cell>
          <cell r="BY39" t="str">
            <v>Glass</v>
          </cell>
          <cell r="BZ39" t="str">
            <v/>
          </cell>
          <cell r="CA39">
            <v>0</v>
          </cell>
          <cell r="CB39" t="str">
            <v>1</v>
          </cell>
          <cell r="CC39" t="str">
            <v/>
          </cell>
          <cell r="CD39">
            <v>58.3</v>
          </cell>
          <cell r="CE39">
            <v>0.7</v>
          </cell>
          <cell r="CF39" t="str">
            <v/>
          </cell>
          <cell r="CG39" t="str">
            <v>01</v>
          </cell>
          <cell r="CH39" t="str">
            <v>3887,44</v>
          </cell>
          <cell r="CI39">
            <v>45330</v>
          </cell>
          <cell r="CJ39">
            <v>2958465</v>
          </cell>
          <cell r="CK39">
            <v>4024.9</v>
          </cell>
        </row>
        <row r="40">
          <cell r="A40">
            <v>17033401</v>
          </cell>
          <cell r="B40" t="str">
            <v/>
          </cell>
          <cell r="C40" t="str">
            <v>Hogshead North British 1991 31 yo Single Grain Scotch Whisky</v>
          </cell>
          <cell r="D40" t="str">
            <v>Hogshead North British 1991 31 yo Single</v>
          </cell>
          <cell r="E40" t="str">
            <v>Hogshead North British 1991 31 yo Single</v>
          </cell>
          <cell r="F40">
            <v>45365</v>
          </cell>
          <cell r="G40" t="str">
            <v>31</v>
          </cell>
          <cell r="H40" t="str">
            <v>Spesialutvalg</v>
          </cell>
          <cell r="I40">
            <v>45330</v>
          </cell>
          <cell r="J40">
            <v>2958465</v>
          </cell>
          <cell r="K40"/>
          <cell r="L40" t="str">
            <v/>
          </cell>
          <cell r="M40" t="str">
            <v/>
          </cell>
          <cell r="N40" t="str">
            <v/>
          </cell>
          <cell r="O40"/>
          <cell r="P40" t="str">
            <v>Brennevin</v>
          </cell>
          <cell r="Q40" t="str">
            <v>Whisky</v>
          </cell>
          <cell r="R40" t="str">
            <v>Whisky, annen</v>
          </cell>
          <cell r="S40" t="str">
            <v>31201</v>
          </cell>
          <cell r="T40" t="str">
            <v>48</v>
          </cell>
          <cell r="U40" t="str">
            <v>Whisky, Skottland, annen</v>
          </cell>
          <cell r="V40" t="str">
            <v>X</v>
          </cell>
          <cell r="W40" t="str">
            <v>0</v>
          </cell>
          <cell r="X40" t="str">
            <v/>
          </cell>
          <cell r="Y40" t="str">
            <v>Skottland</v>
          </cell>
          <cell r="Z40" t="str">
            <v>Lowland</v>
          </cell>
          <cell r="AA40" t="str">
            <v/>
          </cell>
          <cell r="AB40" t="str">
            <v/>
          </cell>
          <cell r="AC40" t="str">
            <v/>
          </cell>
          <cell r="AD40" t="str">
            <v>2616671</v>
          </cell>
          <cell r="AE40" t="str">
            <v>Hogshead</v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>0</v>
          </cell>
          <cell r="AS40" t="str">
            <v/>
          </cell>
          <cell r="AT40" t="str">
            <v>0</v>
          </cell>
          <cell r="AU40" t="str">
            <v/>
          </cell>
          <cell r="AV40" t="str">
            <v>0</v>
          </cell>
          <cell r="AW40" t="str">
            <v/>
          </cell>
          <cell r="AX40" t="str">
            <v>0</v>
          </cell>
          <cell r="AY40" t="str">
            <v/>
          </cell>
          <cell r="AZ40" t="str">
            <v>0</v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>0</v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>03</v>
          </cell>
          <cell r="BY40" t="str">
            <v>Glass</v>
          </cell>
          <cell r="BZ40" t="str">
            <v/>
          </cell>
          <cell r="CA40">
            <v>0</v>
          </cell>
          <cell r="CB40" t="str">
            <v>1</v>
          </cell>
          <cell r="CC40" t="str">
            <v/>
          </cell>
          <cell r="CD40">
            <v>46.7</v>
          </cell>
          <cell r="CE40">
            <v>0.7</v>
          </cell>
          <cell r="CF40" t="str">
            <v/>
          </cell>
          <cell r="CG40" t="str">
            <v>01</v>
          </cell>
          <cell r="CH40" t="str">
            <v>1461,53</v>
          </cell>
          <cell r="CI40">
            <v>45330</v>
          </cell>
          <cell r="CJ40">
            <v>2958465</v>
          </cell>
          <cell r="CK40">
            <v>1599.7</v>
          </cell>
        </row>
        <row r="41">
          <cell r="A41">
            <v>17033501</v>
          </cell>
          <cell r="B41" t="str">
            <v/>
          </cell>
          <cell r="C41" t="str">
            <v>Hogshead Miltonduff 2010 13 YO Single Malt Scotch Whisky</v>
          </cell>
          <cell r="D41" t="str">
            <v>Hogshead Miltonduff 2010 13 YO</v>
          </cell>
          <cell r="E41" t="str">
            <v>Hogshead Miltonduff 2010 13 YO</v>
          </cell>
          <cell r="F41">
            <v>45365</v>
          </cell>
          <cell r="G41" t="str">
            <v>31</v>
          </cell>
          <cell r="H41" t="str">
            <v>Spesialutvalg</v>
          </cell>
          <cell r="I41">
            <v>45330</v>
          </cell>
          <cell r="J41">
            <v>2958465</v>
          </cell>
          <cell r="K41"/>
          <cell r="L41" t="str">
            <v/>
          </cell>
          <cell r="M41" t="str">
            <v/>
          </cell>
          <cell r="N41" t="str">
            <v/>
          </cell>
          <cell r="O41"/>
          <cell r="P41" t="str">
            <v>Brennevin</v>
          </cell>
          <cell r="Q41" t="str">
            <v>Whisky</v>
          </cell>
          <cell r="R41" t="str">
            <v>Whisky, malt</v>
          </cell>
          <cell r="S41" t="str">
            <v>31202</v>
          </cell>
          <cell r="T41" t="str">
            <v>52</v>
          </cell>
          <cell r="U41" t="str">
            <v>Whisky, Skottland, malt</v>
          </cell>
          <cell r="V41" t="str">
            <v>X</v>
          </cell>
          <cell r="W41" t="str">
            <v>0</v>
          </cell>
          <cell r="X41" t="str">
            <v/>
          </cell>
          <cell r="Y41" t="str">
            <v>Skottland</v>
          </cell>
          <cell r="Z41" t="str">
            <v>Speyside</v>
          </cell>
          <cell r="AA41" t="str">
            <v/>
          </cell>
          <cell r="AB41" t="str">
            <v/>
          </cell>
          <cell r="AC41" t="str">
            <v/>
          </cell>
          <cell r="AD41" t="str">
            <v>2616671</v>
          </cell>
          <cell r="AE41" t="str">
            <v>Hogshead</v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>0</v>
          </cell>
          <cell r="AS41" t="str">
            <v/>
          </cell>
          <cell r="AT41" t="str">
            <v>0</v>
          </cell>
          <cell r="AU41" t="str">
            <v/>
          </cell>
          <cell r="AV41" t="str">
            <v>0</v>
          </cell>
          <cell r="AW41" t="str">
            <v/>
          </cell>
          <cell r="AX41" t="str">
            <v>0</v>
          </cell>
          <cell r="AY41" t="str">
            <v/>
          </cell>
          <cell r="AZ41" t="str">
            <v>0</v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>0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>03</v>
          </cell>
          <cell r="BY41" t="str">
            <v>Glass</v>
          </cell>
          <cell r="BZ41" t="str">
            <v/>
          </cell>
          <cell r="CA41">
            <v>0</v>
          </cell>
          <cell r="CB41" t="str">
            <v>1</v>
          </cell>
          <cell r="CC41" t="str">
            <v/>
          </cell>
          <cell r="CD41">
            <v>48</v>
          </cell>
          <cell r="CE41">
            <v>0.7</v>
          </cell>
          <cell r="CF41" t="str">
            <v/>
          </cell>
          <cell r="CG41" t="str">
            <v>01</v>
          </cell>
          <cell r="CH41" t="str">
            <v>1462,33</v>
          </cell>
          <cell r="CI41">
            <v>45330</v>
          </cell>
          <cell r="CJ41">
            <v>2958465</v>
          </cell>
          <cell r="CK41">
            <v>1599.6</v>
          </cell>
        </row>
        <row r="42">
          <cell r="A42">
            <v>17033601</v>
          </cell>
          <cell r="B42" t="str">
            <v/>
          </cell>
          <cell r="C42" t="str">
            <v>Ardnamurchan Rum Cask Release</v>
          </cell>
          <cell r="D42" t="str">
            <v>Ardnamurchan Rum Cask Release</v>
          </cell>
          <cell r="E42" t="str">
            <v>Ardnamurchan Rum Cask Release</v>
          </cell>
          <cell r="F42">
            <v>45365</v>
          </cell>
          <cell r="G42" t="str">
            <v>31</v>
          </cell>
          <cell r="H42" t="str">
            <v>Spesialutvalg</v>
          </cell>
          <cell r="I42">
            <v>45330</v>
          </cell>
          <cell r="J42">
            <v>2958465</v>
          </cell>
          <cell r="K42"/>
          <cell r="L42" t="str">
            <v/>
          </cell>
          <cell r="M42" t="str">
            <v/>
          </cell>
          <cell r="N42" t="str">
            <v/>
          </cell>
          <cell r="O42"/>
          <cell r="P42" t="str">
            <v>Brennevin</v>
          </cell>
          <cell r="Q42" t="str">
            <v>Whisky</v>
          </cell>
          <cell r="R42" t="str">
            <v>Whisky, malt</v>
          </cell>
          <cell r="S42" t="str">
            <v>31202</v>
          </cell>
          <cell r="T42" t="str">
            <v>52</v>
          </cell>
          <cell r="U42" t="str">
            <v>Whisky, Skottland, malt</v>
          </cell>
          <cell r="V42" t="str">
            <v>X</v>
          </cell>
          <cell r="W42" t="str">
            <v>0</v>
          </cell>
          <cell r="X42" t="str">
            <v/>
          </cell>
          <cell r="Y42" t="str">
            <v>Skottland</v>
          </cell>
          <cell r="Z42" t="str">
            <v>Highland</v>
          </cell>
          <cell r="AA42" t="str">
            <v>Øvrige</v>
          </cell>
          <cell r="AB42" t="str">
            <v/>
          </cell>
          <cell r="AC42" t="str">
            <v/>
          </cell>
          <cell r="AD42" t="str">
            <v>63112</v>
          </cell>
          <cell r="AE42" t="str">
            <v>Adelphi Dist.</v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>0</v>
          </cell>
          <cell r="AS42" t="str">
            <v/>
          </cell>
          <cell r="AT42" t="str">
            <v>0</v>
          </cell>
          <cell r="AU42" t="str">
            <v/>
          </cell>
          <cell r="AV42" t="str">
            <v>0</v>
          </cell>
          <cell r="AW42" t="str">
            <v/>
          </cell>
          <cell r="AX42" t="str">
            <v>0</v>
          </cell>
          <cell r="AY42" t="str">
            <v/>
          </cell>
          <cell r="AZ42" t="str">
            <v>0</v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>0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>03</v>
          </cell>
          <cell r="BY42" t="str">
            <v>Glass</v>
          </cell>
          <cell r="BZ42" t="str">
            <v/>
          </cell>
          <cell r="CA42">
            <v>0</v>
          </cell>
          <cell r="CB42" t="str">
            <v>1</v>
          </cell>
          <cell r="CC42" t="str">
            <v/>
          </cell>
          <cell r="CD42">
            <v>55</v>
          </cell>
          <cell r="CE42">
            <v>0.7</v>
          </cell>
          <cell r="CF42" t="str">
            <v/>
          </cell>
          <cell r="CG42" t="str">
            <v>01</v>
          </cell>
          <cell r="CH42" t="str">
            <v>915,44</v>
          </cell>
          <cell r="CI42">
            <v>45337</v>
          </cell>
          <cell r="CJ42">
            <v>2958465</v>
          </cell>
          <cell r="CK42">
            <v>999.9</v>
          </cell>
        </row>
        <row r="43">
          <cell r="A43">
            <v>17033701</v>
          </cell>
          <cell r="B43" t="str">
            <v/>
          </cell>
          <cell r="C43" t="str">
            <v>Adelphi Ben Nevis 2012</v>
          </cell>
          <cell r="D43" t="str">
            <v>Adelphi Ben Nevis 2012</v>
          </cell>
          <cell r="E43" t="str">
            <v>Adelphi Ben Nevis 2012</v>
          </cell>
          <cell r="F43">
            <v>45365</v>
          </cell>
          <cell r="G43" t="str">
            <v>31</v>
          </cell>
          <cell r="H43" t="str">
            <v>Spesialutvalg</v>
          </cell>
          <cell r="I43">
            <v>45330</v>
          </cell>
          <cell r="J43">
            <v>2958465</v>
          </cell>
          <cell r="K43"/>
          <cell r="L43" t="str">
            <v/>
          </cell>
          <cell r="M43" t="str">
            <v/>
          </cell>
          <cell r="N43" t="str">
            <v/>
          </cell>
          <cell r="O43"/>
          <cell r="P43" t="str">
            <v>Brennevin</v>
          </cell>
          <cell r="Q43" t="str">
            <v>Whisky</v>
          </cell>
          <cell r="R43" t="str">
            <v>Whisky, malt</v>
          </cell>
          <cell r="S43" t="str">
            <v>31202</v>
          </cell>
          <cell r="T43" t="str">
            <v>52</v>
          </cell>
          <cell r="U43" t="str">
            <v>Whisky, Skottland, malt</v>
          </cell>
          <cell r="V43" t="str">
            <v>X</v>
          </cell>
          <cell r="W43" t="str">
            <v>0</v>
          </cell>
          <cell r="X43" t="str">
            <v/>
          </cell>
          <cell r="Y43" t="str">
            <v>Skottland</v>
          </cell>
          <cell r="Z43" t="str">
            <v>Highland</v>
          </cell>
          <cell r="AA43" t="str">
            <v>Øvrige</v>
          </cell>
          <cell r="AB43" t="str">
            <v/>
          </cell>
          <cell r="AC43" t="str">
            <v/>
          </cell>
          <cell r="AD43" t="str">
            <v>63112</v>
          </cell>
          <cell r="AE43" t="str">
            <v>Adelphi Dist.</v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>0</v>
          </cell>
          <cell r="AS43" t="str">
            <v/>
          </cell>
          <cell r="AT43" t="str">
            <v>0</v>
          </cell>
          <cell r="AU43" t="str">
            <v/>
          </cell>
          <cell r="AV43" t="str">
            <v>0</v>
          </cell>
          <cell r="AW43" t="str">
            <v/>
          </cell>
          <cell r="AX43" t="str">
            <v>0</v>
          </cell>
          <cell r="AY43" t="str">
            <v/>
          </cell>
          <cell r="AZ43" t="str">
            <v>0</v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>0</v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>03</v>
          </cell>
          <cell r="BY43" t="str">
            <v>Glass</v>
          </cell>
          <cell r="BZ43" t="str">
            <v/>
          </cell>
          <cell r="CA43">
            <v>0</v>
          </cell>
          <cell r="CB43" t="str">
            <v>1</v>
          </cell>
          <cell r="CC43" t="str">
            <v/>
          </cell>
          <cell r="CD43">
            <v>58.6</v>
          </cell>
          <cell r="CE43">
            <v>0.7</v>
          </cell>
          <cell r="CF43" t="str">
            <v/>
          </cell>
          <cell r="CG43" t="str">
            <v>01</v>
          </cell>
          <cell r="CH43" t="str">
            <v>1296,53</v>
          </cell>
          <cell r="CI43">
            <v>45337</v>
          </cell>
          <cell r="CJ43">
            <v>2958465</v>
          </cell>
          <cell r="CK43">
            <v>1412.1</v>
          </cell>
        </row>
        <row r="44">
          <cell r="A44">
            <v>17033801</v>
          </cell>
          <cell r="B44" t="str">
            <v/>
          </cell>
          <cell r="C44" t="str">
            <v>Adelphi Benrinnes 2011</v>
          </cell>
          <cell r="D44" t="str">
            <v>Adelphi Benrinnes 2011</v>
          </cell>
          <cell r="E44" t="str">
            <v>Adelphi Benrinnes 2011</v>
          </cell>
          <cell r="F44">
            <v>45365</v>
          </cell>
          <cell r="G44" t="str">
            <v>31</v>
          </cell>
          <cell r="H44" t="str">
            <v>Spesialutvalg</v>
          </cell>
          <cell r="I44">
            <v>45330</v>
          </cell>
          <cell r="J44">
            <v>2958465</v>
          </cell>
          <cell r="K44"/>
          <cell r="L44" t="str">
            <v/>
          </cell>
          <cell r="M44" t="str">
            <v/>
          </cell>
          <cell r="N44" t="str">
            <v/>
          </cell>
          <cell r="O44"/>
          <cell r="P44" t="str">
            <v>Brennevin</v>
          </cell>
          <cell r="Q44" t="str">
            <v>Whisky</v>
          </cell>
          <cell r="R44" t="str">
            <v>Whisky, malt</v>
          </cell>
          <cell r="S44" t="str">
            <v>31202</v>
          </cell>
          <cell r="T44" t="str">
            <v>52</v>
          </cell>
          <cell r="U44" t="str">
            <v>Whisky, Skottland, malt</v>
          </cell>
          <cell r="V44" t="str">
            <v>X</v>
          </cell>
          <cell r="W44" t="str">
            <v>0</v>
          </cell>
          <cell r="X44" t="str">
            <v/>
          </cell>
          <cell r="Y44" t="str">
            <v>Skottland</v>
          </cell>
          <cell r="Z44" t="str">
            <v>Highland</v>
          </cell>
          <cell r="AA44" t="str">
            <v>Øvrige</v>
          </cell>
          <cell r="AB44" t="str">
            <v/>
          </cell>
          <cell r="AC44" t="str">
            <v/>
          </cell>
          <cell r="AD44" t="str">
            <v>63112</v>
          </cell>
          <cell r="AE44" t="str">
            <v>Adelphi Dist.</v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>0</v>
          </cell>
          <cell r="AS44" t="str">
            <v/>
          </cell>
          <cell r="AT44" t="str">
            <v>0</v>
          </cell>
          <cell r="AU44" t="str">
            <v/>
          </cell>
          <cell r="AV44" t="str">
            <v>0</v>
          </cell>
          <cell r="AW44" t="str">
            <v/>
          </cell>
          <cell r="AX44" t="str">
            <v>0</v>
          </cell>
          <cell r="AY44" t="str">
            <v/>
          </cell>
          <cell r="AZ44" t="str">
            <v>0</v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>0</v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>03</v>
          </cell>
          <cell r="BY44" t="str">
            <v>Glass</v>
          </cell>
          <cell r="BZ44" t="str">
            <v/>
          </cell>
          <cell r="CA44">
            <v>0</v>
          </cell>
          <cell r="CB44" t="str">
            <v>1</v>
          </cell>
          <cell r="CC44" t="str">
            <v/>
          </cell>
          <cell r="CD44">
            <v>52</v>
          </cell>
          <cell r="CE44">
            <v>0.7</v>
          </cell>
          <cell r="CF44" t="str">
            <v/>
          </cell>
          <cell r="CG44" t="str">
            <v>01</v>
          </cell>
          <cell r="CH44" t="str">
            <v>1293,52</v>
          </cell>
          <cell r="CI44">
            <v>45337</v>
          </cell>
          <cell r="CJ44">
            <v>2958465</v>
          </cell>
          <cell r="CK44">
            <v>1413.3</v>
          </cell>
        </row>
        <row r="45">
          <cell r="A45">
            <v>17033901</v>
          </cell>
          <cell r="B45" t="str">
            <v/>
          </cell>
          <cell r="C45" t="str">
            <v>TBWC Blended Grain 30 YO</v>
          </cell>
          <cell r="D45" t="str">
            <v>TBWC Blended Grain 30 YO</v>
          </cell>
          <cell r="E45" t="str">
            <v>TBWC Blended Grain 30 YO</v>
          </cell>
          <cell r="F45">
            <v>45365</v>
          </cell>
          <cell r="G45" t="str">
            <v>31</v>
          </cell>
          <cell r="H45" t="str">
            <v>Spesialutvalg</v>
          </cell>
          <cell r="I45">
            <v>45330</v>
          </cell>
          <cell r="J45">
            <v>2958465</v>
          </cell>
          <cell r="K45"/>
          <cell r="L45" t="str">
            <v/>
          </cell>
          <cell r="M45" t="str">
            <v/>
          </cell>
          <cell r="N45" t="str">
            <v/>
          </cell>
          <cell r="O45"/>
          <cell r="P45" t="str">
            <v>Brennevin</v>
          </cell>
          <cell r="Q45" t="str">
            <v>Whisky</v>
          </cell>
          <cell r="R45" t="str">
            <v>Whisky, annen</v>
          </cell>
          <cell r="S45" t="str">
            <v>31201</v>
          </cell>
          <cell r="T45" t="str">
            <v>48</v>
          </cell>
          <cell r="U45" t="str">
            <v>Whisky, Skottland, annen</v>
          </cell>
          <cell r="V45" t="str">
            <v>X</v>
          </cell>
          <cell r="W45" t="str">
            <v>0</v>
          </cell>
          <cell r="X45" t="str">
            <v/>
          </cell>
          <cell r="Y45" t="str">
            <v>Storbritannia</v>
          </cell>
          <cell r="Z45" t="str">
            <v>Øvrige</v>
          </cell>
          <cell r="AA45" t="str">
            <v/>
          </cell>
          <cell r="AB45" t="str">
            <v/>
          </cell>
          <cell r="AC45" t="str">
            <v/>
          </cell>
          <cell r="AD45" t="str">
            <v>603176</v>
          </cell>
          <cell r="AE45" t="str">
            <v>Atom Brands</v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>0</v>
          </cell>
          <cell r="AS45" t="str">
            <v/>
          </cell>
          <cell r="AT45" t="str">
            <v>0</v>
          </cell>
          <cell r="AU45" t="str">
            <v/>
          </cell>
          <cell r="AV45" t="str">
            <v>0</v>
          </cell>
          <cell r="AW45" t="str">
            <v/>
          </cell>
          <cell r="AX45" t="str">
            <v>0</v>
          </cell>
          <cell r="AY45" t="str">
            <v/>
          </cell>
          <cell r="AZ45" t="str">
            <v>0</v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>0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>03</v>
          </cell>
          <cell r="BY45" t="str">
            <v>Glass</v>
          </cell>
          <cell r="BZ45" t="str">
            <v/>
          </cell>
          <cell r="CA45">
            <v>0</v>
          </cell>
          <cell r="CB45" t="str">
            <v>1</v>
          </cell>
          <cell r="CC45" t="str">
            <v/>
          </cell>
          <cell r="CD45">
            <v>45.8</v>
          </cell>
          <cell r="CE45">
            <v>0.7</v>
          </cell>
          <cell r="CF45" t="str">
            <v/>
          </cell>
          <cell r="CG45" t="str">
            <v>01</v>
          </cell>
          <cell r="CH45" t="str">
            <v>1018,54</v>
          </cell>
          <cell r="CI45">
            <v>45337</v>
          </cell>
          <cell r="CJ45">
            <v>2958465</v>
          </cell>
          <cell r="CK45">
            <v>1118.3</v>
          </cell>
        </row>
        <row r="46">
          <cell r="A46">
            <v>17034001</v>
          </cell>
          <cell r="B46" t="str">
            <v/>
          </cell>
          <cell r="C46" t="str">
            <v>Ardnamurchan 2014</v>
          </cell>
          <cell r="D46" t="str">
            <v>Ardnamurchan 2014</v>
          </cell>
          <cell r="E46" t="str">
            <v>Ardnamurchan 2014</v>
          </cell>
          <cell r="F46">
            <v>45365</v>
          </cell>
          <cell r="G46" t="str">
            <v>31</v>
          </cell>
          <cell r="H46" t="str">
            <v>Spesialutvalg</v>
          </cell>
          <cell r="I46">
            <v>45330</v>
          </cell>
          <cell r="J46">
            <v>2958465</v>
          </cell>
          <cell r="K46"/>
          <cell r="L46" t="str">
            <v/>
          </cell>
          <cell r="M46" t="str">
            <v/>
          </cell>
          <cell r="N46" t="str">
            <v/>
          </cell>
          <cell r="O46"/>
          <cell r="P46" t="str">
            <v>Brennevin</v>
          </cell>
          <cell r="Q46" t="str">
            <v>Whisky</v>
          </cell>
          <cell r="R46" t="str">
            <v>Whisky, malt</v>
          </cell>
          <cell r="S46" t="str">
            <v>31202</v>
          </cell>
          <cell r="T46" t="str">
            <v>52</v>
          </cell>
          <cell r="U46" t="str">
            <v>Whisky, Skottland, malt</v>
          </cell>
          <cell r="V46" t="str">
            <v>X</v>
          </cell>
          <cell r="W46" t="str">
            <v>0</v>
          </cell>
          <cell r="X46" t="str">
            <v/>
          </cell>
          <cell r="Y46" t="str">
            <v>Skottland</v>
          </cell>
          <cell r="Z46" t="str">
            <v>Highland</v>
          </cell>
          <cell r="AA46" t="str">
            <v>Øvrige</v>
          </cell>
          <cell r="AB46" t="str">
            <v/>
          </cell>
          <cell r="AC46" t="str">
            <v/>
          </cell>
          <cell r="AD46" t="str">
            <v>63112</v>
          </cell>
          <cell r="AE46" t="str">
            <v>Adelphi Dist.</v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>0</v>
          </cell>
          <cell r="AS46" t="str">
            <v/>
          </cell>
          <cell r="AT46" t="str">
            <v>0</v>
          </cell>
          <cell r="AU46" t="str">
            <v/>
          </cell>
          <cell r="AV46" t="str">
            <v>0</v>
          </cell>
          <cell r="AW46" t="str">
            <v/>
          </cell>
          <cell r="AX46" t="str">
            <v>0</v>
          </cell>
          <cell r="AY46" t="str">
            <v/>
          </cell>
          <cell r="AZ46" t="str">
            <v>0</v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>0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>03</v>
          </cell>
          <cell r="BY46" t="str">
            <v>Glass</v>
          </cell>
          <cell r="BZ46" t="str">
            <v>X</v>
          </cell>
          <cell r="CA46">
            <v>0.66</v>
          </cell>
          <cell r="CB46" t="str">
            <v>1</v>
          </cell>
          <cell r="CC46" t="str">
            <v/>
          </cell>
          <cell r="CD46">
            <v>57.4</v>
          </cell>
          <cell r="CE46">
            <v>0.7</v>
          </cell>
          <cell r="CF46" t="str">
            <v/>
          </cell>
          <cell r="CG46" t="str">
            <v>01</v>
          </cell>
          <cell r="CH46" t="str">
            <v>1380,15</v>
          </cell>
          <cell r="CI46">
            <v>45337</v>
          </cell>
          <cell r="CJ46">
            <v>2958465</v>
          </cell>
          <cell r="CK46">
            <v>1503.9</v>
          </cell>
        </row>
        <row r="47">
          <cell r="A47">
            <v>17034101</v>
          </cell>
          <cell r="B47" t="str">
            <v/>
          </cell>
          <cell r="C47" t="str">
            <v>Adelphi Caroni 1997</v>
          </cell>
          <cell r="D47" t="str">
            <v>Adelphi Caroni 1997</v>
          </cell>
          <cell r="E47" t="str">
            <v>Adelphi Caroni 1997</v>
          </cell>
          <cell r="F47">
            <v>45365</v>
          </cell>
          <cell r="G47" t="str">
            <v>31</v>
          </cell>
          <cell r="H47" t="str">
            <v>Spesialutvalg</v>
          </cell>
          <cell r="I47">
            <v>45330</v>
          </cell>
          <cell r="J47">
            <v>2958465</v>
          </cell>
          <cell r="K47"/>
          <cell r="L47" t="str">
            <v/>
          </cell>
          <cell r="M47" t="str">
            <v/>
          </cell>
          <cell r="N47" t="str">
            <v/>
          </cell>
          <cell r="O47"/>
          <cell r="P47" t="str">
            <v>Brennevin</v>
          </cell>
          <cell r="Q47" t="str">
            <v>Rom</v>
          </cell>
          <cell r="R47" t="str">
            <v>Rom, brun</v>
          </cell>
          <cell r="S47" t="str">
            <v>31001</v>
          </cell>
          <cell r="T47" t="str">
            <v>64</v>
          </cell>
          <cell r="U47" t="str">
            <v>Rom og cachaca, brun</v>
          </cell>
          <cell r="V47" t="str">
            <v>X</v>
          </cell>
          <cell r="W47" t="str">
            <v>0</v>
          </cell>
          <cell r="X47" t="str">
            <v/>
          </cell>
          <cell r="Y47" t="str">
            <v>Skottland</v>
          </cell>
          <cell r="Z47" t="str">
            <v>Highland</v>
          </cell>
          <cell r="AA47" t="str">
            <v>Øvrige</v>
          </cell>
          <cell r="AB47" t="str">
            <v/>
          </cell>
          <cell r="AC47" t="str">
            <v/>
          </cell>
          <cell r="AD47" t="str">
            <v>63112</v>
          </cell>
          <cell r="AE47" t="str">
            <v>Adelphi Dist.</v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>0</v>
          </cell>
          <cell r="AS47" t="str">
            <v/>
          </cell>
          <cell r="AT47" t="str">
            <v>0</v>
          </cell>
          <cell r="AU47" t="str">
            <v/>
          </cell>
          <cell r="AV47" t="str">
            <v>0</v>
          </cell>
          <cell r="AW47" t="str">
            <v/>
          </cell>
          <cell r="AX47" t="str">
            <v>0</v>
          </cell>
          <cell r="AY47" t="str">
            <v/>
          </cell>
          <cell r="AZ47" t="str">
            <v>0</v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>5</v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>03</v>
          </cell>
          <cell r="BY47" t="str">
            <v>Glass</v>
          </cell>
          <cell r="BZ47" t="str">
            <v/>
          </cell>
          <cell r="CA47">
            <v>0</v>
          </cell>
          <cell r="CB47" t="str">
            <v>1</v>
          </cell>
          <cell r="CC47" t="str">
            <v/>
          </cell>
          <cell r="CD47">
            <v>56.8</v>
          </cell>
          <cell r="CE47">
            <v>0.7</v>
          </cell>
          <cell r="CF47" t="str">
            <v/>
          </cell>
          <cell r="CG47" t="str">
            <v>01</v>
          </cell>
          <cell r="CH47" t="str">
            <v>5600,49</v>
          </cell>
          <cell r="CI47">
            <v>45337</v>
          </cell>
          <cell r="CJ47">
            <v>2958465</v>
          </cell>
          <cell r="CK47">
            <v>5913</v>
          </cell>
        </row>
        <row r="48">
          <cell r="A48">
            <v>17034201</v>
          </cell>
          <cell r="B48" t="str">
            <v/>
          </cell>
          <cell r="C48" t="str">
            <v>Adelphi Akkeshi 2018</v>
          </cell>
          <cell r="D48" t="str">
            <v>Adelphi Akkeshi 2018</v>
          </cell>
          <cell r="E48" t="str">
            <v>Adelphi Akkeshi 2018</v>
          </cell>
          <cell r="F48">
            <v>45365</v>
          </cell>
          <cell r="G48" t="str">
            <v>31</v>
          </cell>
          <cell r="H48" t="str">
            <v>Spesialutvalg</v>
          </cell>
          <cell r="I48">
            <v>45330</v>
          </cell>
          <cell r="J48">
            <v>2958465</v>
          </cell>
          <cell r="K48"/>
          <cell r="L48" t="str">
            <v/>
          </cell>
          <cell r="M48" t="str">
            <v/>
          </cell>
          <cell r="N48" t="str">
            <v/>
          </cell>
          <cell r="O48"/>
          <cell r="P48" t="str">
            <v>Brennevin</v>
          </cell>
          <cell r="Q48" t="str">
            <v>Whisky</v>
          </cell>
          <cell r="R48" t="str">
            <v>Whisky, malt</v>
          </cell>
          <cell r="S48" t="str">
            <v>31202</v>
          </cell>
          <cell r="T48" t="str">
            <v>52</v>
          </cell>
          <cell r="U48" t="str">
            <v>Whisky, Skottland, malt</v>
          </cell>
          <cell r="V48" t="str">
            <v>X</v>
          </cell>
          <cell r="W48" t="str">
            <v>0</v>
          </cell>
          <cell r="X48" t="str">
            <v/>
          </cell>
          <cell r="Y48" t="str">
            <v>Skottland</v>
          </cell>
          <cell r="Z48" t="str">
            <v>Highland</v>
          </cell>
          <cell r="AA48" t="str">
            <v>Øvrige</v>
          </cell>
          <cell r="AB48" t="str">
            <v/>
          </cell>
          <cell r="AC48" t="str">
            <v/>
          </cell>
          <cell r="AD48" t="str">
            <v>63112</v>
          </cell>
          <cell r="AE48" t="str">
            <v>Adelphi Dist.</v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>0</v>
          </cell>
          <cell r="AS48" t="str">
            <v/>
          </cell>
          <cell r="AT48" t="str">
            <v>0</v>
          </cell>
          <cell r="AU48" t="str">
            <v/>
          </cell>
          <cell r="AV48" t="str">
            <v>0</v>
          </cell>
          <cell r="AW48" t="str">
            <v/>
          </cell>
          <cell r="AX48" t="str">
            <v>0</v>
          </cell>
          <cell r="AY48" t="str">
            <v/>
          </cell>
          <cell r="AZ48" t="str">
            <v>0</v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>0</v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>03</v>
          </cell>
          <cell r="BY48" t="str">
            <v>Glass</v>
          </cell>
          <cell r="BZ48" t="str">
            <v/>
          </cell>
          <cell r="CA48">
            <v>0</v>
          </cell>
          <cell r="CB48" t="str">
            <v>1</v>
          </cell>
          <cell r="CC48" t="str">
            <v/>
          </cell>
          <cell r="CD48">
            <v>57.8</v>
          </cell>
          <cell r="CE48">
            <v>0.7</v>
          </cell>
          <cell r="CF48" t="str">
            <v/>
          </cell>
          <cell r="CG48" t="str">
            <v>01</v>
          </cell>
          <cell r="CH48" t="str">
            <v>1480,94</v>
          </cell>
          <cell r="CI48">
            <v>45337</v>
          </cell>
          <cell r="CJ48">
            <v>2958465</v>
          </cell>
          <cell r="CK48">
            <v>1613.3</v>
          </cell>
        </row>
        <row r="49">
          <cell r="A49">
            <v>17034301</v>
          </cell>
          <cell r="B49" t="str">
            <v/>
          </cell>
          <cell r="C49" t="str">
            <v>Adelphi Clynelish 2011</v>
          </cell>
          <cell r="D49" t="str">
            <v>Adelphi Clynelish 2011</v>
          </cell>
          <cell r="E49" t="str">
            <v>Adelphi Clynelish 2011</v>
          </cell>
          <cell r="F49">
            <v>45365</v>
          </cell>
          <cell r="G49" t="str">
            <v>31</v>
          </cell>
          <cell r="H49" t="str">
            <v>Spesialutvalg</v>
          </cell>
          <cell r="I49">
            <v>45330</v>
          </cell>
          <cell r="J49">
            <v>2958465</v>
          </cell>
          <cell r="K49"/>
          <cell r="L49" t="str">
            <v/>
          </cell>
          <cell r="M49" t="str">
            <v/>
          </cell>
          <cell r="N49" t="str">
            <v/>
          </cell>
          <cell r="O49"/>
          <cell r="P49" t="str">
            <v>Brennevin</v>
          </cell>
          <cell r="Q49" t="str">
            <v>Whisky</v>
          </cell>
          <cell r="R49" t="str">
            <v>Whisky, malt</v>
          </cell>
          <cell r="S49" t="str">
            <v>31202</v>
          </cell>
          <cell r="T49" t="str">
            <v>52</v>
          </cell>
          <cell r="U49" t="str">
            <v>Whisky, Skottland, malt</v>
          </cell>
          <cell r="V49" t="str">
            <v>X</v>
          </cell>
          <cell r="W49" t="str">
            <v>0</v>
          </cell>
          <cell r="X49" t="str">
            <v/>
          </cell>
          <cell r="Y49" t="str">
            <v>Skottland</v>
          </cell>
          <cell r="Z49" t="str">
            <v>Highland</v>
          </cell>
          <cell r="AA49" t="str">
            <v>Øvrige</v>
          </cell>
          <cell r="AB49" t="str">
            <v/>
          </cell>
          <cell r="AC49" t="str">
            <v/>
          </cell>
          <cell r="AD49" t="str">
            <v>63112</v>
          </cell>
          <cell r="AE49" t="str">
            <v>Adelphi Dist.</v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>0</v>
          </cell>
          <cell r="AS49" t="str">
            <v/>
          </cell>
          <cell r="AT49" t="str">
            <v>0</v>
          </cell>
          <cell r="AU49" t="str">
            <v/>
          </cell>
          <cell r="AV49" t="str">
            <v>0</v>
          </cell>
          <cell r="AW49" t="str">
            <v/>
          </cell>
          <cell r="AX49" t="str">
            <v>0</v>
          </cell>
          <cell r="AY49" t="str">
            <v/>
          </cell>
          <cell r="AZ49" t="str">
            <v>0</v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>0</v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>03</v>
          </cell>
          <cell r="BY49" t="str">
            <v>Glass</v>
          </cell>
          <cell r="BZ49" t="str">
            <v/>
          </cell>
          <cell r="CA49">
            <v>0</v>
          </cell>
          <cell r="CB49" t="str">
            <v>1</v>
          </cell>
          <cell r="CC49" t="str">
            <v/>
          </cell>
          <cell r="CD49">
            <v>58.3</v>
          </cell>
          <cell r="CE49">
            <v>0.7</v>
          </cell>
          <cell r="CF49" t="str">
            <v/>
          </cell>
          <cell r="CG49" t="str">
            <v>01</v>
          </cell>
          <cell r="CH49" t="str">
            <v>1460,95</v>
          </cell>
          <cell r="CI49">
            <v>45337</v>
          </cell>
          <cell r="CJ49">
            <v>2958465</v>
          </cell>
          <cell r="CK49">
            <v>1591.2</v>
          </cell>
        </row>
        <row r="50">
          <cell r="A50">
            <v>17034401</v>
          </cell>
          <cell r="B50" t="str">
            <v/>
          </cell>
          <cell r="C50" t="str">
            <v>Adelphi North British 1987</v>
          </cell>
          <cell r="D50" t="str">
            <v>Adelphi North British 1987</v>
          </cell>
          <cell r="E50" t="str">
            <v>Adelphi North British 1987</v>
          </cell>
          <cell r="F50">
            <v>45365</v>
          </cell>
          <cell r="G50" t="str">
            <v>31</v>
          </cell>
          <cell r="H50" t="str">
            <v>Spesialutvalg</v>
          </cell>
          <cell r="I50">
            <v>45330</v>
          </cell>
          <cell r="J50">
            <v>2958465</v>
          </cell>
          <cell r="K50"/>
          <cell r="L50" t="str">
            <v/>
          </cell>
          <cell r="M50" t="str">
            <v/>
          </cell>
          <cell r="N50" t="str">
            <v/>
          </cell>
          <cell r="O50"/>
          <cell r="P50" t="str">
            <v>Brennevin</v>
          </cell>
          <cell r="Q50" t="str">
            <v>Whisky</v>
          </cell>
          <cell r="R50" t="str">
            <v>Whisky, malt</v>
          </cell>
          <cell r="S50" t="str">
            <v>31202</v>
          </cell>
          <cell r="T50" t="str">
            <v>49</v>
          </cell>
          <cell r="U50" t="str">
            <v>Whisky, annen</v>
          </cell>
          <cell r="V50" t="str">
            <v>X</v>
          </cell>
          <cell r="W50" t="str">
            <v>0</v>
          </cell>
          <cell r="X50" t="str">
            <v/>
          </cell>
          <cell r="Y50" t="str">
            <v>Skottland</v>
          </cell>
          <cell r="Z50" t="str">
            <v>Highland</v>
          </cell>
          <cell r="AA50" t="str">
            <v>Øvrige</v>
          </cell>
          <cell r="AB50" t="str">
            <v/>
          </cell>
          <cell r="AC50" t="str">
            <v/>
          </cell>
          <cell r="AD50" t="str">
            <v>63112</v>
          </cell>
          <cell r="AE50" t="str">
            <v>Adelphi Dist.</v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>0</v>
          </cell>
          <cell r="AS50" t="str">
            <v/>
          </cell>
          <cell r="AT50" t="str">
            <v>0</v>
          </cell>
          <cell r="AU50" t="str">
            <v/>
          </cell>
          <cell r="AV50" t="str">
            <v>0</v>
          </cell>
          <cell r="AW50" t="str">
            <v/>
          </cell>
          <cell r="AX50" t="str">
            <v>0</v>
          </cell>
          <cell r="AY50" t="str">
            <v/>
          </cell>
          <cell r="AZ50" t="str">
            <v>0</v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>0</v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>03</v>
          </cell>
          <cell r="BY50" t="str">
            <v>Glass</v>
          </cell>
          <cell r="BZ50" t="str">
            <v/>
          </cell>
          <cell r="CA50">
            <v>0</v>
          </cell>
          <cell r="CB50" t="str">
            <v>1</v>
          </cell>
          <cell r="CC50" t="str">
            <v/>
          </cell>
          <cell r="CD50">
            <v>47.5</v>
          </cell>
          <cell r="CE50">
            <v>0.7</v>
          </cell>
          <cell r="CF50" t="str">
            <v/>
          </cell>
          <cell r="CG50" t="str">
            <v>01</v>
          </cell>
          <cell r="CH50" t="str">
            <v>2526,42</v>
          </cell>
          <cell r="CI50">
            <v>45337</v>
          </cell>
          <cell r="CJ50">
            <v>2958465</v>
          </cell>
          <cell r="CK50">
            <v>2757.7</v>
          </cell>
        </row>
        <row r="51">
          <cell r="A51">
            <v>17034501</v>
          </cell>
          <cell r="B51" t="str">
            <v/>
          </cell>
          <cell r="C51" t="str">
            <v>Adelphi Caol Ila 2016</v>
          </cell>
          <cell r="D51" t="str">
            <v>Adelphi Caol Ila 2016</v>
          </cell>
          <cell r="E51" t="str">
            <v>Adelphi Caol Ila 2016</v>
          </cell>
          <cell r="F51">
            <v>45365</v>
          </cell>
          <cell r="G51" t="str">
            <v>31</v>
          </cell>
          <cell r="H51" t="str">
            <v>Spesialutvalg</v>
          </cell>
          <cell r="I51">
            <v>45330</v>
          </cell>
          <cell r="J51">
            <v>2958465</v>
          </cell>
          <cell r="K51"/>
          <cell r="L51" t="str">
            <v/>
          </cell>
          <cell r="M51" t="str">
            <v/>
          </cell>
          <cell r="N51" t="str">
            <v/>
          </cell>
          <cell r="O51"/>
          <cell r="P51" t="str">
            <v>Brennevin</v>
          </cell>
          <cell r="Q51" t="str">
            <v>Whisky</v>
          </cell>
          <cell r="R51" t="str">
            <v>Whisky, malt</v>
          </cell>
          <cell r="S51" t="str">
            <v>31202</v>
          </cell>
          <cell r="T51" t="str">
            <v>52</v>
          </cell>
          <cell r="U51" t="str">
            <v>Whisky, Skottland, malt</v>
          </cell>
          <cell r="V51" t="str">
            <v>X</v>
          </cell>
          <cell r="W51" t="str">
            <v>0</v>
          </cell>
          <cell r="X51" t="str">
            <v/>
          </cell>
          <cell r="Y51" t="str">
            <v>Storbritannia</v>
          </cell>
          <cell r="Z51" t="str">
            <v>Øvrige</v>
          </cell>
          <cell r="AA51" t="str">
            <v/>
          </cell>
          <cell r="AB51" t="str">
            <v/>
          </cell>
          <cell r="AC51" t="str">
            <v/>
          </cell>
          <cell r="AD51" t="str">
            <v>63112</v>
          </cell>
          <cell r="AE51" t="str">
            <v>Adelphi Dist.</v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>0</v>
          </cell>
          <cell r="AS51" t="str">
            <v/>
          </cell>
          <cell r="AT51" t="str">
            <v>0</v>
          </cell>
          <cell r="AU51" t="str">
            <v/>
          </cell>
          <cell r="AV51" t="str">
            <v>0</v>
          </cell>
          <cell r="AW51" t="str">
            <v/>
          </cell>
          <cell r="AX51" t="str">
            <v>0</v>
          </cell>
          <cell r="AY51" t="str">
            <v/>
          </cell>
          <cell r="AZ51" t="str">
            <v>0</v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>0</v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>03</v>
          </cell>
          <cell r="BY51" t="str">
            <v>Glass</v>
          </cell>
          <cell r="BZ51" t="str">
            <v/>
          </cell>
          <cell r="CA51">
            <v>0</v>
          </cell>
          <cell r="CB51" t="str">
            <v>1</v>
          </cell>
          <cell r="CC51" t="str">
            <v/>
          </cell>
          <cell r="CD51">
            <v>58.5</v>
          </cell>
          <cell r="CE51">
            <v>0.7</v>
          </cell>
          <cell r="CF51" t="str">
            <v/>
          </cell>
          <cell r="CG51" t="str">
            <v>01</v>
          </cell>
          <cell r="CH51" t="str">
            <v>1991,11</v>
          </cell>
          <cell r="CI51">
            <v>45337</v>
          </cell>
          <cell r="CJ51">
            <v>2958465</v>
          </cell>
          <cell r="CK51">
            <v>2167.9</v>
          </cell>
        </row>
        <row r="52">
          <cell r="A52">
            <v>17034601</v>
          </cell>
          <cell r="B52" t="str">
            <v/>
          </cell>
          <cell r="C52" t="str">
            <v>Adelphi Imperial 1996</v>
          </cell>
          <cell r="D52" t="str">
            <v>Adelphi Imperial 1996</v>
          </cell>
          <cell r="E52" t="str">
            <v>Adelphi Imperial 1996</v>
          </cell>
          <cell r="F52">
            <v>45365</v>
          </cell>
          <cell r="G52" t="str">
            <v>31</v>
          </cell>
          <cell r="H52" t="str">
            <v>Spesialutvalg</v>
          </cell>
          <cell r="I52">
            <v>45330</v>
          </cell>
          <cell r="J52">
            <v>2958465</v>
          </cell>
          <cell r="K52"/>
          <cell r="L52" t="str">
            <v/>
          </cell>
          <cell r="M52" t="str">
            <v/>
          </cell>
          <cell r="N52" t="str">
            <v/>
          </cell>
          <cell r="O52"/>
          <cell r="P52" t="str">
            <v>Brennevin</v>
          </cell>
          <cell r="Q52" t="str">
            <v>Whisky</v>
          </cell>
          <cell r="R52" t="str">
            <v>Whisky, malt</v>
          </cell>
          <cell r="S52" t="str">
            <v>31202</v>
          </cell>
          <cell r="T52" t="str">
            <v>52</v>
          </cell>
          <cell r="U52" t="str">
            <v>Whisky, Skottland, malt</v>
          </cell>
          <cell r="V52" t="str">
            <v>X</v>
          </cell>
          <cell r="W52" t="str">
            <v>0</v>
          </cell>
          <cell r="X52" t="str">
            <v/>
          </cell>
          <cell r="Y52" t="str">
            <v>Skottland</v>
          </cell>
          <cell r="Z52" t="str">
            <v>Highland</v>
          </cell>
          <cell r="AA52" t="str">
            <v>Øvrige</v>
          </cell>
          <cell r="AB52" t="str">
            <v/>
          </cell>
          <cell r="AC52" t="str">
            <v/>
          </cell>
          <cell r="AD52" t="str">
            <v>63112</v>
          </cell>
          <cell r="AE52" t="str">
            <v>Adelphi Dist.</v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>0</v>
          </cell>
          <cell r="AS52" t="str">
            <v/>
          </cell>
          <cell r="AT52" t="str">
            <v>0</v>
          </cell>
          <cell r="AU52" t="str">
            <v/>
          </cell>
          <cell r="AV52" t="str">
            <v>0</v>
          </cell>
          <cell r="AW52" t="str">
            <v/>
          </cell>
          <cell r="AX52" t="str">
            <v>0</v>
          </cell>
          <cell r="AY52" t="str">
            <v/>
          </cell>
          <cell r="AZ52" t="str">
            <v>0</v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>0</v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>03</v>
          </cell>
          <cell r="BY52" t="str">
            <v>Glass</v>
          </cell>
          <cell r="BZ52" t="str">
            <v/>
          </cell>
          <cell r="CA52">
            <v>0</v>
          </cell>
          <cell r="CB52" t="str">
            <v>1</v>
          </cell>
          <cell r="CC52" t="str">
            <v/>
          </cell>
          <cell r="CD52">
            <v>52.4</v>
          </cell>
          <cell r="CE52">
            <v>0.7</v>
          </cell>
          <cell r="CF52" t="str">
            <v/>
          </cell>
          <cell r="CG52" t="str">
            <v>01</v>
          </cell>
          <cell r="CH52" t="str">
            <v>6213,20</v>
          </cell>
          <cell r="CI52">
            <v>45337</v>
          </cell>
          <cell r="CJ52">
            <v>2958465</v>
          </cell>
          <cell r="CK52">
            <v>6525.7</v>
          </cell>
        </row>
        <row r="53">
          <cell r="A53">
            <v>17034801</v>
          </cell>
          <cell r="B53" t="str">
            <v/>
          </cell>
          <cell r="C53" t="str">
            <v>Mars Tsunuki Edition 2023</v>
          </cell>
          <cell r="D53" t="str">
            <v>Mars Tsunuki Edition 2023</v>
          </cell>
          <cell r="E53" t="str">
            <v>Mars Tsunuki Edition 2023</v>
          </cell>
          <cell r="F53">
            <v>45365</v>
          </cell>
          <cell r="G53" t="str">
            <v>31</v>
          </cell>
          <cell r="H53" t="str">
            <v>Spesialutvalg</v>
          </cell>
          <cell r="I53">
            <v>45330</v>
          </cell>
          <cell r="J53">
            <v>2958465</v>
          </cell>
          <cell r="K53"/>
          <cell r="L53" t="str">
            <v/>
          </cell>
          <cell r="M53" t="str">
            <v/>
          </cell>
          <cell r="N53" t="str">
            <v/>
          </cell>
          <cell r="O53"/>
          <cell r="P53" t="str">
            <v>Brennevin</v>
          </cell>
          <cell r="Q53" t="str">
            <v>Whisky</v>
          </cell>
          <cell r="R53" t="str">
            <v>Whisky, malt</v>
          </cell>
          <cell r="S53" t="str">
            <v>31202</v>
          </cell>
          <cell r="T53" t="str">
            <v>49</v>
          </cell>
          <cell r="U53" t="str">
            <v>Whisky, annen</v>
          </cell>
          <cell r="V53" t="str">
            <v>X</v>
          </cell>
          <cell r="W53" t="str">
            <v>0</v>
          </cell>
          <cell r="X53" t="str">
            <v/>
          </cell>
          <cell r="Y53" t="str">
            <v>Japan</v>
          </cell>
          <cell r="Z53" t="str">
            <v>Øvrige</v>
          </cell>
          <cell r="AA53" t="str">
            <v>Øvrige</v>
          </cell>
          <cell r="AB53" t="str">
            <v/>
          </cell>
          <cell r="AC53" t="str">
            <v/>
          </cell>
          <cell r="AD53" t="str">
            <v>603215</v>
          </cell>
          <cell r="AE53" t="str">
            <v>Mars Shinshu Dist. Hombo Shuzo</v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>0</v>
          </cell>
          <cell r="AS53" t="str">
            <v/>
          </cell>
          <cell r="AT53" t="str">
            <v>0</v>
          </cell>
          <cell r="AU53" t="str">
            <v/>
          </cell>
          <cell r="AV53" t="str">
            <v>0</v>
          </cell>
          <cell r="AW53" t="str">
            <v/>
          </cell>
          <cell r="AX53" t="str">
            <v>0</v>
          </cell>
          <cell r="AY53" t="str">
            <v/>
          </cell>
          <cell r="AZ53" t="str">
            <v>0</v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>0</v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>03</v>
          </cell>
          <cell r="BY53" t="str">
            <v>Glass</v>
          </cell>
          <cell r="BZ53" t="str">
            <v/>
          </cell>
          <cell r="CA53">
            <v>0</v>
          </cell>
          <cell r="CB53" t="str">
            <v>1</v>
          </cell>
          <cell r="CC53" t="str">
            <v/>
          </cell>
          <cell r="CD53">
            <v>50</v>
          </cell>
          <cell r="CE53">
            <v>0.7</v>
          </cell>
          <cell r="CF53" t="str">
            <v/>
          </cell>
          <cell r="CG53" t="str">
            <v>01</v>
          </cell>
          <cell r="CH53" t="str">
            <v>1610,90</v>
          </cell>
          <cell r="CI53">
            <v>45330</v>
          </cell>
          <cell r="CJ53">
            <v>2958465</v>
          </cell>
          <cell r="CK53">
            <v>1759.9</v>
          </cell>
        </row>
        <row r="54">
          <cell r="A54">
            <v>17034901</v>
          </cell>
          <cell r="B54" t="str">
            <v/>
          </cell>
          <cell r="C54" t="str">
            <v>Kilchoman PX Sherry Cask Matured Single Malt Whisky</v>
          </cell>
          <cell r="D54" t="str">
            <v>Kilchoman PX Sherry Cask Matured</v>
          </cell>
          <cell r="E54" t="str">
            <v>Kilchoman PX Sherry Cask Matured</v>
          </cell>
          <cell r="F54">
            <v>45365</v>
          </cell>
          <cell r="G54" t="str">
            <v>31</v>
          </cell>
          <cell r="H54" t="str">
            <v>Spesialutvalg</v>
          </cell>
          <cell r="I54">
            <v>45330</v>
          </cell>
          <cell r="J54">
            <v>2958465</v>
          </cell>
          <cell r="K54"/>
          <cell r="L54" t="str">
            <v/>
          </cell>
          <cell r="M54" t="str">
            <v/>
          </cell>
          <cell r="N54" t="str">
            <v/>
          </cell>
          <cell r="O54"/>
          <cell r="P54" t="str">
            <v>Brennevin</v>
          </cell>
          <cell r="Q54" t="str">
            <v>Whisky</v>
          </cell>
          <cell r="R54" t="str">
            <v>Whisky, malt</v>
          </cell>
          <cell r="S54" t="str">
            <v>31202</v>
          </cell>
          <cell r="T54" t="str">
            <v>52</v>
          </cell>
          <cell r="U54" t="str">
            <v>Whisky, Skottland, malt</v>
          </cell>
          <cell r="V54" t="str">
            <v>X</v>
          </cell>
          <cell r="W54" t="str">
            <v>0</v>
          </cell>
          <cell r="X54" t="str">
            <v/>
          </cell>
          <cell r="Y54" t="str">
            <v>Skottland</v>
          </cell>
          <cell r="Z54" t="str">
            <v>Islay</v>
          </cell>
          <cell r="AA54" t="str">
            <v/>
          </cell>
          <cell r="AB54" t="str">
            <v/>
          </cell>
          <cell r="AC54" t="str">
            <v/>
          </cell>
          <cell r="AD54" t="str">
            <v>600318</v>
          </cell>
          <cell r="AE54" t="str">
            <v>Kilchoman Distillery</v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>0</v>
          </cell>
          <cell r="AS54" t="str">
            <v/>
          </cell>
          <cell r="AT54" t="str">
            <v>0</v>
          </cell>
          <cell r="AU54" t="str">
            <v/>
          </cell>
          <cell r="AV54" t="str">
            <v>0</v>
          </cell>
          <cell r="AW54" t="str">
            <v/>
          </cell>
          <cell r="AX54" t="str">
            <v>0</v>
          </cell>
          <cell r="AY54" t="str">
            <v/>
          </cell>
          <cell r="AZ54" t="str">
            <v>0</v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>0</v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>03</v>
          </cell>
          <cell r="BY54" t="str">
            <v>Glass</v>
          </cell>
          <cell r="BZ54" t="str">
            <v/>
          </cell>
          <cell r="CA54">
            <v>0</v>
          </cell>
          <cell r="CB54" t="str">
            <v>1</v>
          </cell>
          <cell r="CC54" t="str">
            <v/>
          </cell>
          <cell r="CD54">
            <v>50</v>
          </cell>
          <cell r="CE54">
            <v>0.7</v>
          </cell>
          <cell r="CF54" t="str">
            <v/>
          </cell>
          <cell r="CG54" t="str">
            <v>01</v>
          </cell>
          <cell r="CH54" t="str">
            <v>1399,50</v>
          </cell>
          <cell r="CI54">
            <v>45330</v>
          </cell>
          <cell r="CJ54">
            <v>2958465</v>
          </cell>
          <cell r="CK54">
            <v>1529.9</v>
          </cell>
        </row>
        <row r="55">
          <cell r="A55">
            <v>17035304</v>
          </cell>
          <cell r="B55" t="str">
            <v/>
          </cell>
          <cell r="C55" t="str">
            <v>Roseisle 12 YO SR</v>
          </cell>
          <cell r="D55" t="str">
            <v>Roseisle 12 YO SR</v>
          </cell>
          <cell r="E55" t="str">
            <v>Roseisle 12 YO SR</v>
          </cell>
          <cell r="F55">
            <v>45365</v>
          </cell>
          <cell r="G55" t="str">
            <v>31</v>
          </cell>
          <cell r="H55" t="str">
            <v>Spesialutvalg</v>
          </cell>
          <cell r="I55">
            <v>45331</v>
          </cell>
          <cell r="J55">
            <v>2958465</v>
          </cell>
          <cell r="K55"/>
          <cell r="L55" t="str">
            <v/>
          </cell>
          <cell r="M55" t="str">
            <v/>
          </cell>
          <cell r="N55" t="str">
            <v/>
          </cell>
          <cell r="O55"/>
          <cell r="P55" t="str">
            <v>Brennevin</v>
          </cell>
          <cell r="Q55" t="str">
            <v>Whisky</v>
          </cell>
          <cell r="R55" t="str">
            <v>Whisky, malt</v>
          </cell>
          <cell r="S55" t="str">
            <v>31202</v>
          </cell>
          <cell r="T55" t="str">
            <v>52</v>
          </cell>
          <cell r="U55" t="str">
            <v>Whisky, Skottland, malt</v>
          </cell>
          <cell r="V55" t="str">
            <v>X</v>
          </cell>
          <cell r="W55" t="str">
            <v>0</v>
          </cell>
          <cell r="X55" t="str">
            <v/>
          </cell>
          <cell r="Y55" t="str">
            <v>Skottland</v>
          </cell>
          <cell r="Z55" t="str">
            <v>Speyside</v>
          </cell>
          <cell r="AA55" t="str">
            <v/>
          </cell>
          <cell r="AB55" t="str">
            <v/>
          </cell>
          <cell r="AC55" t="str">
            <v/>
          </cell>
          <cell r="AD55" t="str">
            <v>61768</v>
          </cell>
          <cell r="AE55" t="str">
            <v>Diageo</v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>0</v>
          </cell>
          <cell r="AS55" t="str">
            <v/>
          </cell>
          <cell r="AT55" t="str">
            <v>0</v>
          </cell>
          <cell r="AU55" t="str">
            <v/>
          </cell>
          <cell r="AV55" t="str">
            <v>0</v>
          </cell>
          <cell r="AW55" t="str">
            <v/>
          </cell>
          <cell r="AX55" t="str">
            <v>0</v>
          </cell>
          <cell r="AY55" t="str">
            <v/>
          </cell>
          <cell r="AZ55" t="str">
            <v>0</v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>0</v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>03</v>
          </cell>
          <cell r="BY55" t="str">
            <v>Glass</v>
          </cell>
          <cell r="BZ55" t="str">
            <v/>
          </cell>
          <cell r="CA55">
            <v>0</v>
          </cell>
          <cell r="CB55" t="str">
            <v>1</v>
          </cell>
          <cell r="CC55" t="str">
            <v/>
          </cell>
          <cell r="CD55">
            <v>56.5</v>
          </cell>
          <cell r="CE55">
            <v>0.2</v>
          </cell>
          <cell r="CF55" t="str">
            <v/>
          </cell>
          <cell r="CG55" t="str">
            <v>04</v>
          </cell>
          <cell r="CH55" t="str">
            <v>539,77</v>
          </cell>
          <cell r="CI55">
            <v>45331</v>
          </cell>
          <cell r="CJ55">
            <v>2958465</v>
          </cell>
          <cell r="CK55">
            <v>597.4</v>
          </cell>
        </row>
        <row r="56">
          <cell r="A56">
            <v>17035401</v>
          </cell>
          <cell r="B56" t="str">
            <v/>
          </cell>
          <cell r="C56" t="str">
            <v>Roseisle 12 YO SR</v>
          </cell>
          <cell r="D56" t="str">
            <v>Roseisle 12 YO SR</v>
          </cell>
          <cell r="E56" t="str">
            <v>Roseisle 12 YO SR</v>
          </cell>
          <cell r="F56">
            <v>45365</v>
          </cell>
          <cell r="G56" t="str">
            <v>31</v>
          </cell>
          <cell r="H56" t="str">
            <v>Spesialutvalg</v>
          </cell>
          <cell r="I56">
            <v>45331</v>
          </cell>
          <cell r="J56">
            <v>2958465</v>
          </cell>
          <cell r="K56"/>
          <cell r="L56" t="str">
            <v/>
          </cell>
          <cell r="M56" t="str">
            <v/>
          </cell>
          <cell r="N56" t="str">
            <v/>
          </cell>
          <cell r="O56"/>
          <cell r="P56" t="str">
            <v>Brennevin</v>
          </cell>
          <cell r="Q56" t="str">
            <v>Whisky</v>
          </cell>
          <cell r="R56" t="str">
            <v>Whisky, malt</v>
          </cell>
          <cell r="S56" t="str">
            <v>31202</v>
          </cell>
          <cell r="T56" t="str">
            <v>52</v>
          </cell>
          <cell r="U56" t="str">
            <v>Whisky, Skottland, malt</v>
          </cell>
          <cell r="V56" t="str">
            <v>X</v>
          </cell>
          <cell r="W56" t="str">
            <v>0</v>
          </cell>
          <cell r="X56" t="str">
            <v/>
          </cell>
          <cell r="Y56" t="str">
            <v>Skottland</v>
          </cell>
          <cell r="Z56" t="str">
            <v>Speyside</v>
          </cell>
          <cell r="AA56" t="str">
            <v/>
          </cell>
          <cell r="AB56" t="str">
            <v/>
          </cell>
          <cell r="AC56" t="str">
            <v/>
          </cell>
          <cell r="AD56" t="str">
            <v>61768</v>
          </cell>
          <cell r="AE56" t="str">
            <v>Diageo</v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>0</v>
          </cell>
          <cell r="AS56" t="str">
            <v/>
          </cell>
          <cell r="AT56" t="str">
            <v>0</v>
          </cell>
          <cell r="AU56" t="str">
            <v/>
          </cell>
          <cell r="AV56" t="str">
            <v>0</v>
          </cell>
          <cell r="AW56" t="str">
            <v/>
          </cell>
          <cell r="AX56" t="str">
            <v>0</v>
          </cell>
          <cell r="AY56" t="str">
            <v/>
          </cell>
          <cell r="AZ56" t="str">
            <v>0</v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>0</v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>03</v>
          </cell>
          <cell r="BY56" t="str">
            <v>Glass</v>
          </cell>
          <cell r="BZ56" t="str">
            <v/>
          </cell>
          <cell r="CA56">
            <v>0</v>
          </cell>
          <cell r="CB56" t="str">
            <v>1</v>
          </cell>
          <cell r="CC56" t="str">
            <v/>
          </cell>
          <cell r="CD56">
            <v>56.5</v>
          </cell>
          <cell r="CE56">
            <v>0.7</v>
          </cell>
          <cell r="CF56" t="str">
            <v/>
          </cell>
          <cell r="CG56" t="str">
            <v>01</v>
          </cell>
          <cell r="CH56" t="str">
            <v>1559,78</v>
          </cell>
          <cell r="CI56">
            <v>45331</v>
          </cell>
          <cell r="CJ56">
            <v>2958465</v>
          </cell>
          <cell r="CK56">
            <v>1699.9</v>
          </cell>
        </row>
        <row r="57">
          <cell r="A57">
            <v>17037801</v>
          </cell>
          <cell r="B57" t="str">
            <v/>
          </cell>
          <cell r="C57" t="str">
            <v>Glenfarclas Family Casks 2004 Port Pipe Cask #1106</v>
          </cell>
          <cell r="D57" t="str">
            <v>Glenfarclas Family Casks 2004 Port #1106</v>
          </cell>
          <cell r="E57" t="str">
            <v>Glenfarclas Family Casks 2004 Port #1106</v>
          </cell>
          <cell r="F57">
            <v>45365</v>
          </cell>
          <cell r="G57" t="str">
            <v>31</v>
          </cell>
          <cell r="H57" t="str">
            <v>Spesialutvalg</v>
          </cell>
          <cell r="I57">
            <v>45331</v>
          </cell>
          <cell r="J57">
            <v>2958465</v>
          </cell>
          <cell r="K57"/>
          <cell r="L57" t="str">
            <v/>
          </cell>
          <cell r="M57" t="str">
            <v/>
          </cell>
          <cell r="N57" t="str">
            <v/>
          </cell>
          <cell r="O57"/>
          <cell r="P57" t="str">
            <v>Brennevin</v>
          </cell>
          <cell r="Q57" t="str">
            <v>Whisky</v>
          </cell>
          <cell r="R57" t="str">
            <v>Whisky, malt</v>
          </cell>
          <cell r="S57" t="str">
            <v>31202</v>
          </cell>
          <cell r="T57" t="str">
            <v>52</v>
          </cell>
          <cell r="U57" t="str">
            <v>Whisky, Skottland, malt</v>
          </cell>
          <cell r="V57" t="str">
            <v>X</v>
          </cell>
          <cell r="W57" t="str">
            <v>2004</v>
          </cell>
          <cell r="X57" t="str">
            <v/>
          </cell>
          <cell r="Y57" t="str">
            <v>Skottland</v>
          </cell>
          <cell r="Z57" t="str">
            <v>Highland</v>
          </cell>
          <cell r="AA57" t="str">
            <v>Øvrige</v>
          </cell>
          <cell r="AB57" t="str">
            <v/>
          </cell>
          <cell r="AC57" t="str">
            <v/>
          </cell>
          <cell r="AD57" t="str">
            <v>64322</v>
          </cell>
          <cell r="AE57" t="str">
            <v>J&amp;G Grant</v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>0</v>
          </cell>
          <cell r="AS57" t="str">
            <v/>
          </cell>
          <cell r="AT57" t="str">
            <v>0</v>
          </cell>
          <cell r="AU57" t="str">
            <v/>
          </cell>
          <cell r="AV57" t="str">
            <v>0</v>
          </cell>
          <cell r="AW57" t="str">
            <v/>
          </cell>
          <cell r="AX57" t="str">
            <v>0</v>
          </cell>
          <cell r="AY57" t="str">
            <v/>
          </cell>
          <cell r="AZ57" t="str">
            <v>0</v>
          </cell>
          <cell r="BA57" t="str">
            <v/>
          </cell>
          <cell r="BB57" t="str">
            <v/>
          </cell>
          <cell r="BC57" t="str">
            <v/>
          </cell>
          <cell r="BD57" t="str">
            <v/>
          </cell>
          <cell r="BE57" t="str">
            <v/>
          </cell>
          <cell r="BF57" t="str">
            <v>0,2</v>
          </cell>
          <cell r="BG57" t="str">
            <v/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>03</v>
          </cell>
          <cell r="BY57" t="str">
            <v>Glass</v>
          </cell>
          <cell r="BZ57" t="str">
            <v/>
          </cell>
          <cell r="CA57">
            <v>0</v>
          </cell>
          <cell r="CB57" t="str">
            <v>1</v>
          </cell>
          <cell r="CC57" t="str">
            <v/>
          </cell>
          <cell r="CD57">
            <v>54.2</v>
          </cell>
          <cell r="CE57">
            <v>0.7</v>
          </cell>
          <cell r="CF57" t="str">
            <v/>
          </cell>
          <cell r="CG57" t="str">
            <v>01</v>
          </cell>
          <cell r="CH57" t="str">
            <v>2652,20</v>
          </cell>
          <cell r="CI57">
            <v>45331</v>
          </cell>
          <cell r="CJ57">
            <v>2958465</v>
          </cell>
          <cell r="CK57">
            <v>2890</v>
          </cell>
        </row>
        <row r="58">
          <cell r="A58">
            <v>17037901</v>
          </cell>
          <cell r="B58" t="str">
            <v/>
          </cell>
          <cell r="C58" t="str">
            <v>Arran The Signature Series Remnant Renegade</v>
          </cell>
          <cell r="D58" t="str">
            <v>Arran Signature Series Remnant Renegade</v>
          </cell>
          <cell r="E58" t="str">
            <v>Arran Signature Series Remnant Renegade</v>
          </cell>
          <cell r="F58">
            <v>45365</v>
          </cell>
          <cell r="G58" t="str">
            <v>31</v>
          </cell>
          <cell r="H58" t="str">
            <v>Spesialutvalg</v>
          </cell>
          <cell r="I58">
            <v>45331</v>
          </cell>
          <cell r="J58">
            <v>2958465</v>
          </cell>
          <cell r="K58"/>
          <cell r="L58" t="str">
            <v/>
          </cell>
          <cell r="M58" t="str">
            <v/>
          </cell>
          <cell r="N58" t="str">
            <v/>
          </cell>
          <cell r="O58"/>
          <cell r="P58" t="str">
            <v>Brennevin</v>
          </cell>
          <cell r="Q58" t="str">
            <v>Whisky</v>
          </cell>
          <cell r="R58" t="str">
            <v>Whisky, malt</v>
          </cell>
          <cell r="S58" t="str">
            <v>31202</v>
          </cell>
          <cell r="T58" t="str">
            <v>52</v>
          </cell>
          <cell r="U58" t="str">
            <v>Whisky, Skottland, malt</v>
          </cell>
          <cell r="V58" t="str">
            <v>X</v>
          </cell>
          <cell r="W58" t="str">
            <v>0</v>
          </cell>
          <cell r="X58" t="str">
            <v/>
          </cell>
          <cell r="Y58" t="str">
            <v>Skottland</v>
          </cell>
          <cell r="Z58" t="str">
            <v>Arran</v>
          </cell>
          <cell r="AA58" t="str">
            <v/>
          </cell>
          <cell r="AB58" t="str">
            <v/>
          </cell>
          <cell r="AC58" t="str">
            <v/>
          </cell>
          <cell r="AD58" t="str">
            <v>61472</v>
          </cell>
          <cell r="AE58" t="str">
            <v>Isle of Arran Dist.</v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>0</v>
          </cell>
          <cell r="AS58" t="str">
            <v/>
          </cell>
          <cell r="AT58" t="str">
            <v>0</v>
          </cell>
          <cell r="AU58" t="str">
            <v/>
          </cell>
          <cell r="AV58" t="str">
            <v>0</v>
          </cell>
          <cell r="AW58" t="str">
            <v/>
          </cell>
          <cell r="AX58" t="str">
            <v>0</v>
          </cell>
          <cell r="AY58" t="str">
            <v/>
          </cell>
          <cell r="AZ58" t="str">
            <v>0</v>
          </cell>
          <cell r="BA58" t="str">
            <v/>
          </cell>
          <cell r="BB58" t="str">
            <v/>
          </cell>
          <cell r="BC58" t="str">
            <v/>
          </cell>
          <cell r="BD58" t="str">
            <v/>
          </cell>
          <cell r="BE58" t="str">
            <v/>
          </cell>
          <cell r="BF58" t="str">
            <v>0,2</v>
          </cell>
          <cell r="BG58" t="str">
            <v/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>03</v>
          </cell>
          <cell r="BY58" t="str">
            <v>Glass</v>
          </cell>
          <cell r="BZ58" t="str">
            <v/>
          </cell>
          <cell r="CA58">
            <v>0</v>
          </cell>
          <cell r="CB58" t="str">
            <v>1</v>
          </cell>
          <cell r="CC58" t="str">
            <v/>
          </cell>
          <cell r="CD58">
            <v>46</v>
          </cell>
          <cell r="CE58">
            <v>0.7</v>
          </cell>
          <cell r="CF58" t="str">
            <v/>
          </cell>
          <cell r="CG58" t="str">
            <v>01</v>
          </cell>
          <cell r="CH58" t="str">
            <v>1213,26</v>
          </cell>
          <cell r="CI58">
            <v>45331</v>
          </cell>
          <cell r="CJ58">
            <v>2958465</v>
          </cell>
          <cell r="CK58">
            <v>1330</v>
          </cell>
        </row>
        <row r="59">
          <cell r="A59">
            <v>17040802</v>
          </cell>
          <cell r="B59" t="str">
            <v/>
          </cell>
          <cell r="C59" t="str">
            <v>Woven W-project Norway Blend</v>
          </cell>
          <cell r="D59" t="str">
            <v>Woven W-project Norway Blend</v>
          </cell>
          <cell r="E59" t="str">
            <v>Woven W-project Norway Blend</v>
          </cell>
          <cell r="F59">
            <v>45365</v>
          </cell>
          <cell r="G59" t="str">
            <v>31</v>
          </cell>
          <cell r="H59" t="str">
            <v>Spesialutvalg</v>
          </cell>
          <cell r="I59">
            <v>45337</v>
          </cell>
          <cell r="J59">
            <v>2958465</v>
          </cell>
          <cell r="K59"/>
          <cell r="L59" t="str">
            <v/>
          </cell>
          <cell r="M59" t="str">
            <v/>
          </cell>
          <cell r="N59" t="str">
            <v/>
          </cell>
          <cell r="O59"/>
          <cell r="P59" t="str">
            <v>Brennevin</v>
          </cell>
          <cell r="Q59" t="str">
            <v>Whisky</v>
          </cell>
          <cell r="R59" t="str">
            <v>Whisky, annen</v>
          </cell>
          <cell r="S59" t="str">
            <v>31201</v>
          </cell>
          <cell r="T59" t="str">
            <v>48</v>
          </cell>
          <cell r="U59" t="str">
            <v>Whisky, Skottland, annen</v>
          </cell>
          <cell r="V59" t="str">
            <v>X</v>
          </cell>
          <cell r="W59" t="str">
            <v>0</v>
          </cell>
          <cell r="X59" t="str">
            <v/>
          </cell>
          <cell r="Y59" t="str">
            <v>Skottland</v>
          </cell>
          <cell r="Z59" t="str">
            <v>Highland</v>
          </cell>
          <cell r="AA59" t="str">
            <v>Øvrige</v>
          </cell>
          <cell r="AB59" t="str">
            <v/>
          </cell>
          <cell r="AC59" t="str">
            <v/>
          </cell>
          <cell r="AD59" t="str">
            <v>2422724</v>
          </cell>
          <cell r="AE59" t="str">
            <v>Woven Whisky</v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>0</v>
          </cell>
          <cell r="AS59" t="str">
            <v/>
          </cell>
          <cell r="AT59" t="str">
            <v>0</v>
          </cell>
          <cell r="AU59" t="str">
            <v/>
          </cell>
          <cell r="AV59" t="str">
            <v>0</v>
          </cell>
          <cell r="AW59" t="str">
            <v/>
          </cell>
          <cell r="AX59" t="str">
            <v>0</v>
          </cell>
          <cell r="AY59" t="str">
            <v/>
          </cell>
          <cell r="AZ59" t="str">
            <v>0</v>
          </cell>
          <cell r="BA59" t="str">
            <v/>
          </cell>
          <cell r="BB59" t="str">
            <v/>
          </cell>
          <cell r="BC59" t="str">
            <v/>
          </cell>
          <cell r="BD59" t="str">
            <v/>
          </cell>
          <cell r="BE59" t="str">
            <v/>
          </cell>
          <cell r="BF59" t="str">
            <v>0</v>
          </cell>
          <cell r="BG59" t="str">
            <v/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>03</v>
          </cell>
          <cell r="BY59" t="str">
            <v>Glass</v>
          </cell>
          <cell r="BZ59" t="str">
            <v/>
          </cell>
          <cell r="CA59">
            <v>0</v>
          </cell>
          <cell r="CB59" t="str">
            <v>1</v>
          </cell>
          <cell r="CC59" t="str">
            <v/>
          </cell>
          <cell r="CD59">
            <v>46</v>
          </cell>
          <cell r="CE59">
            <v>0.5</v>
          </cell>
          <cell r="CF59" t="str">
            <v/>
          </cell>
          <cell r="CG59" t="str">
            <v>02</v>
          </cell>
          <cell r="CH59" t="str">
            <v>674,46</v>
          </cell>
          <cell r="CI59">
            <v>45337</v>
          </cell>
          <cell r="CJ59">
            <v>2958465</v>
          </cell>
          <cell r="CK59">
            <v>744.7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</sheetNames>
    <sheetDataSet>
      <sheetData sheetId="0">
        <row r="1">
          <cell r="B1" t="str">
            <v>Artikkelnr.</v>
          </cell>
          <cell r="C1" t="str">
            <v>Produsent</v>
          </cell>
          <cell r="D1" t="str">
            <v>Produktnavn</v>
          </cell>
          <cell r="E1" t="str">
            <v>Årgang</v>
          </cell>
          <cell r="F1" t="str">
            <v>Land</v>
          </cell>
          <cell r="G1" t="str">
            <v>Varetype</v>
          </cell>
          <cell r="H1" t="str">
            <v>Volum</v>
          </cell>
          <cell r="I1" t="str">
            <v>Alkohol</v>
          </cell>
          <cell r="J1" t="str">
            <v>Salgspris</v>
          </cell>
          <cell r="K1" t="str">
            <v>Grossist</v>
          </cell>
          <cell r="L1" t="str">
            <v>Distributør</v>
          </cell>
          <cell r="M1" t="str">
            <v>Totalt antall</v>
          </cell>
          <cell r="N1" t="str">
            <v>Fordeling Aker Brygge (114)</v>
          </cell>
          <cell r="O1" t="str">
            <v>Fordeling Valkendorfsgt (150)</v>
          </cell>
          <cell r="P1" t="str">
            <v>Fordeling Hamar (230)</v>
          </cell>
          <cell r="Q1" t="str">
            <v>Fordeling Sandnes Kvadrat (116)</v>
          </cell>
          <cell r="R1" t="str">
            <v>Fordeling Storo (161)</v>
          </cell>
          <cell r="S1" t="str">
            <v>Fordeling Sandefjord (283)</v>
          </cell>
          <cell r="T1" t="str">
            <v>Fordeling Valentinlyst (180)</v>
          </cell>
          <cell r="U1" t="str">
            <v>Fordeling Tromsø Langnes (282)</v>
          </cell>
          <cell r="V1" t="str">
            <v>Fordeling lager Vestby (801)</v>
          </cell>
          <cell r="W1" t="str">
            <v>Til butikksmaking</v>
          </cell>
          <cell r="X1" t="str">
            <v>Til pressesmaking</v>
          </cell>
          <cell r="Y1" t="str">
            <v xml:space="preserve">Til kvotering </v>
          </cell>
        </row>
        <row r="2">
          <cell r="B2">
            <v>17040802</v>
          </cell>
          <cell r="C2" t="str">
            <v>Woven</v>
          </cell>
          <cell r="D2" t="str">
            <v>W-project Norway Blend</v>
          </cell>
          <cell r="F2" t="str">
            <v>Skottland</v>
          </cell>
          <cell r="G2" t="str">
            <v>Blended Malt</v>
          </cell>
          <cell r="H2">
            <v>0.5</v>
          </cell>
          <cell r="I2">
            <v>46</v>
          </cell>
          <cell r="J2">
            <v>744.7</v>
          </cell>
          <cell r="K2" t="str">
            <v>Malt Norge</v>
          </cell>
          <cell r="L2" t="str">
            <v>Vectura</v>
          </cell>
          <cell r="M2">
            <v>120</v>
          </cell>
          <cell r="N2">
            <v>16</v>
          </cell>
          <cell r="O2">
            <v>15</v>
          </cell>
          <cell r="P2">
            <v>15</v>
          </cell>
          <cell r="Q2">
            <v>15</v>
          </cell>
          <cell r="R2">
            <v>14</v>
          </cell>
          <cell r="S2">
            <v>15</v>
          </cell>
          <cell r="U2">
            <v>15</v>
          </cell>
          <cell r="V2">
            <v>15</v>
          </cell>
          <cell r="W2">
            <v>1</v>
          </cell>
        </row>
        <row r="3">
          <cell r="B3">
            <v>13804501</v>
          </cell>
          <cell r="C3" t="str">
            <v>Four Roses Distillery</v>
          </cell>
          <cell r="D3" t="str">
            <v>Four Roses Small Batch 2023 Release - 135th  Anniversary Edition</v>
          </cell>
          <cell r="F3" t="str">
            <v>USA</v>
          </cell>
          <cell r="G3" t="str">
            <v>Bourbon</v>
          </cell>
          <cell r="H3">
            <v>0.7</v>
          </cell>
          <cell r="I3">
            <v>54</v>
          </cell>
          <cell r="J3">
            <v>2199.6999999999998</v>
          </cell>
          <cell r="K3" t="str">
            <v>Pernod Ricard Norway AS</v>
          </cell>
          <cell r="L3" t="str">
            <v>Skanlog</v>
          </cell>
          <cell r="M3">
            <v>192</v>
          </cell>
          <cell r="N3">
            <v>18</v>
          </cell>
          <cell r="O3">
            <v>18</v>
          </cell>
          <cell r="P3">
            <v>18</v>
          </cell>
          <cell r="Q3">
            <v>18</v>
          </cell>
          <cell r="R3">
            <v>18</v>
          </cell>
          <cell r="S3">
            <v>18</v>
          </cell>
          <cell r="T3">
            <v>18</v>
          </cell>
          <cell r="U3">
            <v>6</v>
          </cell>
          <cell r="V3">
            <v>12</v>
          </cell>
          <cell r="W3">
            <v>1</v>
          </cell>
        </row>
        <row r="4">
          <cell r="B4">
            <v>12435001</v>
          </cell>
          <cell r="C4" t="str">
            <v>Michter's</v>
          </cell>
          <cell r="D4" t="str">
            <v>Shenk's Homestead 45,6% 70cl</v>
          </cell>
          <cell r="E4">
            <v>2023</v>
          </cell>
          <cell r="F4" t="str">
            <v>USA</v>
          </cell>
          <cell r="G4" t="str">
            <v>Bourbon</v>
          </cell>
          <cell r="H4">
            <v>0.7</v>
          </cell>
          <cell r="I4">
            <v>45.6</v>
          </cell>
          <cell r="J4">
            <v>1849.9</v>
          </cell>
          <cell r="K4" t="str">
            <v>CASK</v>
          </cell>
          <cell r="L4" t="str">
            <v>Skanlog</v>
          </cell>
          <cell r="M4">
            <v>30</v>
          </cell>
          <cell r="N4">
            <v>4</v>
          </cell>
          <cell r="O4">
            <v>3</v>
          </cell>
          <cell r="P4">
            <v>3</v>
          </cell>
          <cell r="Q4">
            <v>4</v>
          </cell>
          <cell r="R4">
            <v>3</v>
          </cell>
          <cell r="S4">
            <v>3</v>
          </cell>
          <cell r="T4">
            <v>3</v>
          </cell>
          <cell r="U4">
            <v>4</v>
          </cell>
          <cell r="V4">
            <v>3</v>
          </cell>
          <cell r="W4">
            <v>1</v>
          </cell>
        </row>
        <row r="5">
          <cell r="B5">
            <v>12434901</v>
          </cell>
          <cell r="C5" t="str">
            <v>Michter's</v>
          </cell>
          <cell r="D5" t="str">
            <v>Bomberger's Declaration 54% 70cl</v>
          </cell>
          <cell r="E5">
            <v>2023</v>
          </cell>
          <cell r="F5" t="str">
            <v>USA</v>
          </cell>
          <cell r="G5" t="str">
            <v>Bourbon</v>
          </cell>
          <cell r="H5">
            <v>0.7</v>
          </cell>
          <cell r="I5">
            <v>54</v>
          </cell>
          <cell r="J5">
            <v>2030.9</v>
          </cell>
          <cell r="K5" t="str">
            <v>CASK</v>
          </cell>
          <cell r="L5" t="str">
            <v>Skanlog</v>
          </cell>
          <cell r="M5">
            <v>36</v>
          </cell>
          <cell r="N5">
            <v>4</v>
          </cell>
          <cell r="O5">
            <v>4</v>
          </cell>
          <cell r="P5">
            <v>4</v>
          </cell>
          <cell r="Q5">
            <v>4</v>
          </cell>
          <cell r="R5">
            <v>4</v>
          </cell>
          <cell r="S5">
            <v>4</v>
          </cell>
          <cell r="T5">
            <v>4</v>
          </cell>
          <cell r="U5">
            <v>4</v>
          </cell>
          <cell r="V5">
            <v>4</v>
          </cell>
          <cell r="W5">
            <v>1</v>
          </cell>
        </row>
        <row r="6">
          <cell r="B6">
            <v>17021701</v>
          </cell>
          <cell r="C6" t="str">
            <v>Coquerel</v>
          </cell>
          <cell r="D6" t="str">
            <v>Pomme d'Eve</v>
          </cell>
          <cell r="F6" t="str">
            <v>Frankrike</v>
          </cell>
          <cell r="G6" t="str">
            <v>Calvados</v>
          </cell>
          <cell r="H6">
            <v>0.7</v>
          </cell>
          <cell r="I6">
            <v>40</v>
          </cell>
          <cell r="J6">
            <v>1080.2</v>
          </cell>
          <cell r="K6" t="str">
            <v>Distillium AS</v>
          </cell>
          <cell r="L6" t="str">
            <v>Skanlog</v>
          </cell>
          <cell r="M6">
            <v>60</v>
          </cell>
          <cell r="N6">
            <v>8</v>
          </cell>
          <cell r="O6">
            <v>6</v>
          </cell>
          <cell r="P6">
            <v>8</v>
          </cell>
          <cell r="Q6">
            <v>8</v>
          </cell>
          <cell r="R6">
            <v>6</v>
          </cell>
          <cell r="S6">
            <v>8</v>
          </cell>
          <cell r="U6">
            <v>8</v>
          </cell>
          <cell r="V6">
            <v>8</v>
          </cell>
          <cell r="W6">
            <v>1</v>
          </cell>
        </row>
        <row r="7">
          <cell r="B7">
            <v>17031501</v>
          </cell>
          <cell r="C7" t="str">
            <v>Cognac Frapin</v>
          </cell>
          <cell r="D7" t="str">
            <v>Frapin 15 Years Old</v>
          </cell>
          <cell r="F7" t="str">
            <v>Frankrike</v>
          </cell>
          <cell r="G7" t="str">
            <v>Cognac</v>
          </cell>
          <cell r="H7">
            <v>0.7</v>
          </cell>
          <cell r="I7">
            <v>45.3</v>
          </cell>
          <cell r="J7">
            <v>1299.9000000000001</v>
          </cell>
          <cell r="K7" t="str">
            <v>Good Beverage AS</v>
          </cell>
          <cell r="L7" t="str">
            <v>Vectura</v>
          </cell>
          <cell r="M7">
            <v>96</v>
          </cell>
          <cell r="N7">
            <v>12</v>
          </cell>
          <cell r="O7">
            <v>12</v>
          </cell>
          <cell r="P7">
            <v>12</v>
          </cell>
          <cell r="Q7">
            <v>12</v>
          </cell>
          <cell r="R7">
            <v>12</v>
          </cell>
          <cell r="S7">
            <v>12</v>
          </cell>
          <cell r="U7">
            <v>12</v>
          </cell>
          <cell r="V7">
            <v>12</v>
          </cell>
          <cell r="W7">
            <v>1</v>
          </cell>
        </row>
        <row r="8">
          <cell r="B8">
            <v>14953702</v>
          </cell>
          <cell r="C8" t="str">
            <v>Åkre gård</v>
          </cell>
          <cell r="D8" t="str">
            <v>Løynd Grappa Blaufränkisch Rest</v>
          </cell>
          <cell r="F8" t="str">
            <v>Norge</v>
          </cell>
          <cell r="G8" t="str">
            <v>Fruktbrennevin</v>
          </cell>
          <cell r="H8">
            <v>0.5</v>
          </cell>
          <cell r="I8">
            <v>43</v>
          </cell>
          <cell r="J8">
            <v>699</v>
          </cell>
          <cell r="K8" t="str">
            <v>Moestue Grape Selections</v>
          </cell>
          <cell r="L8" t="str">
            <v>Skanlog</v>
          </cell>
          <cell r="M8">
            <v>60</v>
          </cell>
          <cell r="N8">
            <v>8</v>
          </cell>
          <cell r="O8">
            <v>8</v>
          </cell>
          <cell r="P8">
            <v>7</v>
          </cell>
          <cell r="Q8">
            <v>8</v>
          </cell>
          <cell r="R8">
            <v>6</v>
          </cell>
          <cell r="S8">
            <v>8</v>
          </cell>
          <cell r="U8">
            <v>8</v>
          </cell>
          <cell r="V8">
            <v>7</v>
          </cell>
          <cell r="W8">
            <v>1</v>
          </cell>
        </row>
        <row r="9">
          <cell r="B9">
            <v>17021601</v>
          </cell>
          <cell r="C9" t="str">
            <v>The Kyoto Distillery</v>
          </cell>
          <cell r="D9" t="str">
            <v>Ki No Bi Kyoto Dry Gin EDITION K - Aged in Kilchoman Peated Single Malt casks</v>
          </cell>
          <cell r="F9" t="str">
            <v>Japan</v>
          </cell>
          <cell r="G9" t="str">
            <v>Gin</v>
          </cell>
          <cell r="H9">
            <v>0.7</v>
          </cell>
          <cell r="I9">
            <v>46</v>
          </cell>
          <cell r="J9">
            <v>999</v>
          </cell>
          <cell r="K9" t="str">
            <v>Pernod Ricard Norway AS</v>
          </cell>
          <cell r="L9" t="str">
            <v xml:space="preserve">Skanlog </v>
          </cell>
          <cell r="M9">
            <v>120</v>
          </cell>
          <cell r="N9">
            <v>14</v>
          </cell>
          <cell r="O9">
            <v>14</v>
          </cell>
          <cell r="P9">
            <v>14</v>
          </cell>
          <cell r="Q9">
            <v>14</v>
          </cell>
          <cell r="R9">
            <v>12</v>
          </cell>
          <cell r="S9">
            <v>14</v>
          </cell>
          <cell r="T9">
            <v>12</v>
          </cell>
          <cell r="U9">
            <v>13</v>
          </cell>
          <cell r="V9">
            <v>13</v>
          </cell>
          <cell r="W9">
            <v>1</v>
          </cell>
        </row>
        <row r="10">
          <cell r="B10">
            <v>17034401</v>
          </cell>
          <cell r="C10" t="str">
            <v>Adelphi</v>
          </cell>
          <cell r="D10" t="str">
            <v xml:space="preserve">North British </v>
          </cell>
          <cell r="E10">
            <v>1987</v>
          </cell>
          <cell r="F10" t="str">
            <v>Skottland</v>
          </cell>
          <cell r="G10" t="str">
            <v>Grain whisky</v>
          </cell>
          <cell r="H10">
            <v>0.7</v>
          </cell>
          <cell r="I10">
            <v>47.5</v>
          </cell>
          <cell r="J10">
            <v>2757.7</v>
          </cell>
          <cell r="K10" t="str">
            <v>Malt Norge</v>
          </cell>
          <cell r="L10" t="str">
            <v>Vectura</v>
          </cell>
          <cell r="M10">
            <v>6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S10">
            <v>1</v>
          </cell>
          <cell r="U10">
            <v>1</v>
          </cell>
          <cell r="Y10">
            <v>1</v>
          </cell>
        </row>
        <row r="11">
          <cell r="B11">
            <v>17033901</v>
          </cell>
          <cell r="C11" t="str">
            <v>That Boutique-y Whisky Co</v>
          </cell>
          <cell r="D11" t="str">
            <v>Blended Grain Whisky 30yo</v>
          </cell>
          <cell r="F11" t="str">
            <v>Skottland</v>
          </cell>
          <cell r="G11" t="str">
            <v>Grain whisky</v>
          </cell>
          <cell r="H11">
            <v>0.7</v>
          </cell>
          <cell r="I11">
            <v>45.8</v>
          </cell>
          <cell r="J11">
            <v>1118.3</v>
          </cell>
          <cell r="K11" t="str">
            <v>Malt Norge</v>
          </cell>
          <cell r="L11" t="str">
            <v>Vectura</v>
          </cell>
          <cell r="M11">
            <v>100</v>
          </cell>
          <cell r="N11">
            <v>14</v>
          </cell>
          <cell r="O11">
            <v>12</v>
          </cell>
          <cell r="P11">
            <v>12</v>
          </cell>
          <cell r="Q11">
            <v>14</v>
          </cell>
          <cell r="R11">
            <v>12</v>
          </cell>
          <cell r="S11">
            <v>12</v>
          </cell>
          <cell r="U11">
            <v>12</v>
          </cell>
          <cell r="V11">
            <v>12</v>
          </cell>
          <cell r="W11">
            <v>1</v>
          </cell>
        </row>
        <row r="12">
          <cell r="B12">
            <v>17033401</v>
          </cell>
          <cell r="C12" t="str">
            <v>Hogshead</v>
          </cell>
          <cell r="D12" t="str">
            <v>North British 1991 31 yo</v>
          </cell>
          <cell r="F12" t="str">
            <v>Skottland</v>
          </cell>
          <cell r="G12" t="str">
            <v>Grain whisky</v>
          </cell>
          <cell r="H12">
            <v>0.7</v>
          </cell>
          <cell r="I12">
            <v>46.7</v>
          </cell>
          <cell r="J12">
            <v>1599.7</v>
          </cell>
          <cell r="K12" t="str">
            <v>Palmer Spirits</v>
          </cell>
          <cell r="L12" t="str">
            <v>Cuveco</v>
          </cell>
          <cell r="M12">
            <v>48</v>
          </cell>
          <cell r="N12">
            <v>6</v>
          </cell>
          <cell r="O12">
            <v>6</v>
          </cell>
          <cell r="P12">
            <v>6</v>
          </cell>
          <cell r="Q12">
            <v>6</v>
          </cell>
          <cell r="R12">
            <v>6</v>
          </cell>
          <cell r="S12">
            <v>6</v>
          </cell>
          <cell r="U12">
            <v>6</v>
          </cell>
          <cell r="V12">
            <v>6</v>
          </cell>
          <cell r="W12">
            <v>1</v>
          </cell>
        </row>
        <row r="13">
          <cell r="B13">
            <v>16640801</v>
          </cell>
          <cell r="C13" t="str">
            <v>Rum &amp; Cane</v>
          </cell>
          <cell r="D13" t="str">
            <v>Jamaica 22yo</v>
          </cell>
          <cell r="E13">
            <v>2001</v>
          </cell>
          <cell r="F13" t="str">
            <v>Jamaica</v>
          </cell>
          <cell r="G13" t="str">
            <v>Rom</v>
          </cell>
          <cell r="H13">
            <v>0.7</v>
          </cell>
          <cell r="I13">
            <v>52.1</v>
          </cell>
          <cell r="J13">
            <v>2306.9</v>
          </cell>
          <cell r="K13" t="str">
            <v>Malt Norge</v>
          </cell>
          <cell r="L13" t="str">
            <v>Vectura</v>
          </cell>
          <cell r="M13">
            <v>108</v>
          </cell>
          <cell r="N13">
            <v>12</v>
          </cell>
          <cell r="O13">
            <v>12</v>
          </cell>
          <cell r="P13">
            <v>12</v>
          </cell>
          <cell r="Q13">
            <v>12</v>
          </cell>
          <cell r="R13">
            <v>12</v>
          </cell>
          <cell r="S13">
            <v>12</v>
          </cell>
          <cell r="T13">
            <v>12</v>
          </cell>
          <cell r="U13">
            <v>12</v>
          </cell>
          <cell r="V13">
            <v>12</v>
          </cell>
          <cell r="W13">
            <v>1</v>
          </cell>
        </row>
        <row r="14">
          <cell r="B14">
            <v>16640901</v>
          </cell>
          <cell r="C14" t="str">
            <v>Rum &amp; Cane</v>
          </cell>
          <cell r="D14" t="str">
            <v>Guyana 15 YO</v>
          </cell>
          <cell r="E14">
            <v>2007</v>
          </cell>
          <cell r="F14" t="str">
            <v>Guyana</v>
          </cell>
          <cell r="G14" t="str">
            <v>Rom</v>
          </cell>
          <cell r="H14">
            <v>0.7</v>
          </cell>
          <cell r="I14">
            <v>47.2</v>
          </cell>
          <cell r="J14">
            <v>1184.0999999999999</v>
          </cell>
          <cell r="K14" t="str">
            <v>Malt Norge</v>
          </cell>
          <cell r="L14" t="str">
            <v>Vectura</v>
          </cell>
          <cell r="M14">
            <v>108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</v>
          </cell>
        </row>
        <row r="15">
          <cell r="B15">
            <v>17031301</v>
          </cell>
          <cell r="C15" t="str">
            <v>Maison Ferrand</v>
          </cell>
          <cell r="D15" t="str">
            <v>Plantation Vintage Barbados 2007</v>
          </cell>
          <cell r="E15">
            <v>2007</v>
          </cell>
          <cell r="F15" t="str">
            <v>Barbados</v>
          </cell>
          <cell r="G15" t="str">
            <v>Rom</v>
          </cell>
          <cell r="H15">
            <v>0.7</v>
          </cell>
          <cell r="I15">
            <v>48.7</v>
          </cell>
          <cell r="J15">
            <v>1278.9000000000001</v>
          </cell>
          <cell r="K15" t="str">
            <v>Løiten Brenneri</v>
          </cell>
          <cell r="L15" t="str">
            <v>Vectura</v>
          </cell>
          <cell r="M15">
            <v>24</v>
          </cell>
          <cell r="N15">
            <v>4</v>
          </cell>
          <cell r="O15">
            <v>4</v>
          </cell>
          <cell r="P15">
            <v>4</v>
          </cell>
          <cell r="Q15">
            <v>4</v>
          </cell>
          <cell r="R15">
            <v>4</v>
          </cell>
          <cell r="S15">
            <v>4</v>
          </cell>
          <cell r="U15">
            <v>4</v>
          </cell>
          <cell r="V15">
            <v>4</v>
          </cell>
          <cell r="W15">
            <v>1</v>
          </cell>
        </row>
        <row r="16">
          <cell r="B16">
            <v>17034101</v>
          </cell>
          <cell r="C16" t="str">
            <v>Adelphi</v>
          </cell>
          <cell r="D16" t="str">
            <v>Caroni</v>
          </cell>
          <cell r="E16">
            <v>1997</v>
          </cell>
          <cell r="F16" t="str">
            <v>Skottland</v>
          </cell>
          <cell r="G16" t="str">
            <v>Rom, brun</v>
          </cell>
          <cell r="H16">
            <v>0.7</v>
          </cell>
          <cell r="I16">
            <v>56.8</v>
          </cell>
          <cell r="J16">
            <v>5913</v>
          </cell>
          <cell r="K16" t="str">
            <v>Malt Norge</v>
          </cell>
          <cell r="L16" t="str">
            <v>Vectura</v>
          </cell>
          <cell r="M16">
            <v>6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S16">
            <v>1</v>
          </cell>
          <cell r="U16">
            <v>1</v>
          </cell>
          <cell r="W16">
            <v>1</v>
          </cell>
          <cell r="Y16">
            <v>1</v>
          </cell>
        </row>
        <row r="17">
          <cell r="B17">
            <v>17031201</v>
          </cell>
          <cell r="C17" t="str">
            <v>Brave New Spirits</v>
          </cell>
          <cell r="D17" t="str">
            <v>Ghost Of The Hill (Port Dundas 17yo, 1st Fill Lafite Wine Barrique)</v>
          </cell>
          <cell r="F17" t="str">
            <v>Skottland</v>
          </cell>
          <cell r="G17" t="str">
            <v>Single Grain Whisky</v>
          </cell>
          <cell r="H17">
            <v>0.7</v>
          </cell>
          <cell r="I17">
            <v>54.6</v>
          </cell>
          <cell r="J17">
            <v>1653.7</v>
          </cell>
          <cell r="K17" t="str">
            <v>Daracha AS</v>
          </cell>
          <cell r="L17" t="str">
            <v>Vinhuset Oslo</v>
          </cell>
          <cell r="M17">
            <v>60</v>
          </cell>
          <cell r="N17">
            <v>8</v>
          </cell>
          <cell r="O17">
            <v>8</v>
          </cell>
          <cell r="P17">
            <v>7</v>
          </cell>
          <cell r="Q17">
            <v>8</v>
          </cell>
          <cell r="R17">
            <v>7</v>
          </cell>
          <cell r="S17">
            <v>7</v>
          </cell>
          <cell r="U17">
            <v>7</v>
          </cell>
          <cell r="V17">
            <v>8</v>
          </cell>
          <cell r="W17">
            <v>1</v>
          </cell>
        </row>
        <row r="18">
          <cell r="B18">
            <v>15934501</v>
          </cell>
          <cell r="C18" t="str">
            <v>Macallan</v>
          </cell>
          <cell r="D18" t="str">
            <v>Macallan Destill Your World Mexico City</v>
          </cell>
          <cell r="F18" t="str">
            <v>Skottland</v>
          </cell>
          <cell r="G18" t="str">
            <v>Single Malt Whisky</v>
          </cell>
          <cell r="H18">
            <v>0.7</v>
          </cell>
          <cell r="I18">
            <v>48</v>
          </cell>
          <cell r="J18">
            <v>43674.9</v>
          </cell>
          <cell r="K18" t="str">
            <v>Edrington Norway As</v>
          </cell>
          <cell r="L18" t="str">
            <v xml:space="preserve">Vectura </v>
          </cell>
          <cell r="M18">
            <v>1</v>
          </cell>
          <cell r="S18">
            <v>1</v>
          </cell>
        </row>
        <row r="19">
          <cell r="B19">
            <v>17031401</v>
          </cell>
          <cell r="C19" t="str">
            <v>Glen Moray</v>
          </cell>
          <cell r="D19" t="str">
            <v>Glen Moray Private Edition: When Scotland meets Spain</v>
          </cell>
          <cell r="E19">
            <v>2006</v>
          </cell>
          <cell r="F19" t="str">
            <v>Skottland</v>
          </cell>
          <cell r="G19" t="str">
            <v>Single Malt Whisky</v>
          </cell>
          <cell r="H19">
            <v>0.7</v>
          </cell>
          <cell r="I19">
            <v>52.8</v>
          </cell>
          <cell r="J19">
            <v>2299.9</v>
          </cell>
          <cell r="K19" t="str">
            <v>Arcus Norway AS</v>
          </cell>
          <cell r="L19" t="str">
            <v>Vectura</v>
          </cell>
          <cell r="M19">
            <v>60</v>
          </cell>
          <cell r="N19">
            <v>8</v>
          </cell>
          <cell r="O19">
            <v>8</v>
          </cell>
          <cell r="P19">
            <v>7</v>
          </cell>
          <cell r="Q19">
            <v>8</v>
          </cell>
          <cell r="R19">
            <v>7</v>
          </cell>
          <cell r="S19">
            <v>7</v>
          </cell>
          <cell r="U19">
            <v>7</v>
          </cell>
          <cell r="V19">
            <v>8</v>
          </cell>
          <cell r="W19">
            <v>1</v>
          </cell>
        </row>
        <row r="20">
          <cell r="B20">
            <v>17034801</v>
          </cell>
          <cell r="C20" t="str">
            <v>MARS</v>
          </cell>
          <cell r="D20" t="str">
            <v>Mars Tsunuki Edition 2023</v>
          </cell>
          <cell r="E20">
            <v>2023</v>
          </cell>
          <cell r="F20" t="str">
            <v>Japan</v>
          </cell>
          <cell r="G20" t="str">
            <v>Single Malt Whisky</v>
          </cell>
          <cell r="H20">
            <v>0.7</v>
          </cell>
          <cell r="I20">
            <v>50</v>
          </cell>
          <cell r="J20">
            <v>1759.9</v>
          </cell>
          <cell r="K20" t="str">
            <v>CASK</v>
          </cell>
          <cell r="L20" t="str">
            <v>Skanlog</v>
          </cell>
          <cell r="M20">
            <v>24</v>
          </cell>
          <cell r="N20">
            <v>3</v>
          </cell>
          <cell r="O20">
            <v>3</v>
          </cell>
          <cell r="P20">
            <v>2</v>
          </cell>
          <cell r="Q20">
            <v>3</v>
          </cell>
          <cell r="R20">
            <v>2</v>
          </cell>
          <cell r="S20">
            <v>2</v>
          </cell>
          <cell r="T20">
            <v>4</v>
          </cell>
          <cell r="U20">
            <v>2</v>
          </cell>
          <cell r="V20">
            <v>3</v>
          </cell>
          <cell r="W20">
            <v>1</v>
          </cell>
          <cell r="Y20">
            <v>1</v>
          </cell>
        </row>
        <row r="21">
          <cell r="B21">
            <v>17034901</v>
          </cell>
          <cell r="C21" t="str">
            <v>Kilchoman</v>
          </cell>
          <cell r="D21" t="str">
            <v>Kilchoman PX Sherry Cask Matured Single Malt Whisky 50% 70cl</v>
          </cell>
          <cell r="E21">
            <v>2023</v>
          </cell>
          <cell r="F21" t="str">
            <v>Skottland</v>
          </cell>
          <cell r="G21" t="str">
            <v>Single Malt Whisky</v>
          </cell>
          <cell r="H21">
            <v>0.7</v>
          </cell>
          <cell r="I21">
            <v>50</v>
          </cell>
          <cell r="J21">
            <v>1529.9</v>
          </cell>
          <cell r="K21" t="str">
            <v>CASK</v>
          </cell>
          <cell r="L21" t="str">
            <v>Skanlog</v>
          </cell>
          <cell r="M21">
            <v>58</v>
          </cell>
          <cell r="N21">
            <v>8</v>
          </cell>
          <cell r="O21">
            <v>6</v>
          </cell>
          <cell r="P21">
            <v>6</v>
          </cell>
          <cell r="Q21">
            <v>6</v>
          </cell>
          <cell r="R21">
            <v>6</v>
          </cell>
          <cell r="S21">
            <v>6</v>
          </cell>
          <cell r="T21">
            <v>8</v>
          </cell>
          <cell r="U21">
            <v>6</v>
          </cell>
          <cell r="V21">
            <v>6</v>
          </cell>
          <cell r="W21">
            <v>1</v>
          </cell>
        </row>
        <row r="22">
          <cell r="B22">
            <v>17021301</v>
          </cell>
          <cell r="C22" t="str">
            <v>Loch Lomond Group</v>
          </cell>
          <cell r="D22" t="str">
            <v>Loch Lomond 21yo</v>
          </cell>
          <cell r="F22" t="str">
            <v>Skottland</v>
          </cell>
          <cell r="G22" t="str">
            <v>Single Malt Whisky</v>
          </cell>
          <cell r="H22">
            <v>0.7</v>
          </cell>
          <cell r="I22">
            <v>46</v>
          </cell>
          <cell r="J22">
            <v>2309.4</v>
          </cell>
          <cell r="K22" t="str">
            <v>Crafted Brands</v>
          </cell>
          <cell r="L22" t="str">
            <v>Cuveco</v>
          </cell>
          <cell r="M22">
            <v>24</v>
          </cell>
          <cell r="N22">
            <v>4</v>
          </cell>
          <cell r="O22">
            <v>3</v>
          </cell>
          <cell r="P22">
            <v>3</v>
          </cell>
          <cell r="Q22">
            <v>3</v>
          </cell>
          <cell r="R22">
            <v>2</v>
          </cell>
          <cell r="S22">
            <v>3</v>
          </cell>
          <cell r="U22">
            <v>3</v>
          </cell>
          <cell r="V22">
            <v>3</v>
          </cell>
          <cell r="W22">
            <v>1</v>
          </cell>
        </row>
        <row r="23">
          <cell r="B23">
            <v>17021201</v>
          </cell>
          <cell r="C23" t="str">
            <v>Loch Lomond Group</v>
          </cell>
          <cell r="D23" t="str">
            <v>Glen Scotia 18yo</v>
          </cell>
          <cell r="F23" t="str">
            <v>Skottland</v>
          </cell>
          <cell r="G23" t="str">
            <v>Single Malt Whisky</v>
          </cell>
          <cell r="H23">
            <v>0.7</v>
          </cell>
          <cell r="I23">
            <v>46</v>
          </cell>
          <cell r="J23">
            <v>1819.6</v>
          </cell>
          <cell r="K23" t="str">
            <v>Crafted Brands</v>
          </cell>
          <cell r="L23" t="str">
            <v>Cuveco</v>
          </cell>
          <cell r="M23">
            <v>48</v>
          </cell>
          <cell r="N23">
            <v>6</v>
          </cell>
          <cell r="O23">
            <v>6</v>
          </cell>
          <cell r="P23">
            <v>6</v>
          </cell>
          <cell r="Q23">
            <v>6</v>
          </cell>
          <cell r="R23">
            <v>6</v>
          </cell>
          <cell r="S23">
            <v>6</v>
          </cell>
          <cell r="U23">
            <v>6</v>
          </cell>
          <cell r="V23">
            <v>6</v>
          </cell>
          <cell r="W23">
            <v>1</v>
          </cell>
        </row>
        <row r="24">
          <cell r="B24">
            <v>17031101</v>
          </cell>
          <cell r="C24" t="str">
            <v>Brave New Spirits</v>
          </cell>
          <cell r="D24" t="str">
            <v>Hector's Sound Of Islay (Caol Ila 12yo, 1st Fill Hospice de Nuits Barrique)</v>
          </cell>
          <cell r="F24" t="str">
            <v>Skottland</v>
          </cell>
          <cell r="G24" t="str">
            <v>Single Malt Whisky</v>
          </cell>
          <cell r="H24">
            <v>0.7</v>
          </cell>
          <cell r="I24">
            <v>56</v>
          </cell>
          <cell r="J24">
            <v>1817.3</v>
          </cell>
          <cell r="K24" t="str">
            <v>Daracha AS</v>
          </cell>
          <cell r="L24" t="str">
            <v>Vinhuset Oslo</v>
          </cell>
          <cell r="M24">
            <v>60</v>
          </cell>
          <cell r="N24">
            <v>8</v>
          </cell>
          <cell r="O24">
            <v>7</v>
          </cell>
          <cell r="P24">
            <v>8</v>
          </cell>
          <cell r="Q24">
            <v>7</v>
          </cell>
          <cell r="R24">
            <v>7</v>
          </cell>
          <cell r="S24">
            <v>8</v>
          </cell>
          <cell r="U24">
            <v>8</v>
          </cell>
          <cell r="V24">
            <v>7</v>
          </cell>
          <cell r="W24">
            <v>1</v>
          </cell>
        </row>
        <row r="25">
          <cell r="B25">
            <v>17021402</v>
          </cell>
          <cell r="C25" t="str">
            <v>Det Norske Brenneri AS</v>
          </cell>
          <cell r="D25" t="str">
            <v>Eiktyrne Kveik &amp; Malt 36 mnd</v>
          </cell>
          <cell r="F25" t="str">
            <v>Norge</v>
          </cell>
          <cell r="G25" t="str">
            <v>Single Malt Whisky</v>
          </cell>
          <cell r="H25">
            <v>0.5</v>
          </cell>
          <cell r="I25">
            <v>48.2</v>
          </cell>
          <cell r="J25">
            <v>739.9</v>
          </cell>
          <cell r="K25" t="str">
            <v>Det Norske Brenneri</v>
          </cell>
          <cell r="L25" t="str">
            <v xml:space="preserve">Skanlog </v>
          </cell>
          <cell r="M25">
            <v>75</v>
          </cell>
          <cell r="N25">
            <v>10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9</v>
          </cell>
          <cell r="U25">
            <v>8</v>
          </cell>
          <cell r="V25">
            <v>8</v>
          </cell>
          <cell r="W25">
            <v>1</v>
          </cell>
        </row>
        <row r="26">
          <cell r="B26">
            <v>17021801</v>
          </cell>
          <cell r="C26" t="str">
            <v>Echlinville</v>
          </cell>
          <cell r="D26" t="str">
            <v>Dunvilles PX 12Yo</v>
          </cell>
          <cell r="F26" t="str">
            <v>Nord-Irland</v>
          </cell>
          <cell r="G26" t="str">
            <v>Single Malt Whisky</v>
          </cell>
          <cell r="H26">
            <v>0.7</v>
          </cell>
          <cell r="I26">
            <v>55.8</v>
          </cell>
          <cell r="J26">
            <v>1580.2</v>
          </cell>
          <cell r="K26" t="str">
            <v>Distillium AS</v>
          </cell>
          <cell r="L26" t="str">
            <v>Skanlog</v>
          </cell>
          <cell r="M26">
            <v>120</v>
          </cell>
          <cell r="N26">
            <v>14</v>
          </cell>
          <cell r="O26">
            <v>14</v>
          </cell>
          <cell r="P26">
            <v>12</v>
          </cell>
          <cell r="Q26">
            <v>14</v>
          </cell>
          <cell r="R26">
            <v>12</v>
          </cell>
          <cell r="S26">
            <v>14</v>
          </cell>
          <cell r="T26">
            <v>12</v>
          </cell>
          <cell r="U26">
            <v>14</v>
          </cell>
          <cell r="V26">
            <v>14</v>
          </cell>
          <cell r="W26">
            <v>1</v>
          </cell>
        </row>
        <row r="27">
          <cell r="B27">
            <v>17031701</v>
          </cell>
          <cell r="C27" t="str">
            <v>Hunter Laing</v>
          </cell>
          <cell r="D27" t="str">
            <v>Hepburn's Ch. Caol Ila 12yo</v>
          </cell>
          <cell r="F27" t="str">
            <v>Skottland</v>
          </cell>
          <cell r="G27" t="str">
            <v>Single Malt Whisky</v>
          </cell>
          <cell r="H27">
            <v>0.7</v>
          </cell>
          <cell r="I27">
            <v>46</v>
          </cell>
          <cell r="J27">
            <v>1599.9</v>
          </cell>
          <cell r="K27" t="str">
            <v>Distillium AS</v>
          </cell>
          <cell r="L27" t="str">
            <v>Skanlog</v>
          </cell>
          <cell r="M27">
            <v>60</v>
          </cell>
          <cell r="N27">
            <v>8</v>
          </cell>
          <cell r="O27">
            <v>8</v>
          </cell>
          <cell r="P27">
            <v>6</v>
          </cell>
          <cell r="Q27">
            <v>8</v>
          </cell>
          <cell r="R27">
            <v>6</v>
          </cell>
          <cell r="S27">
            <v>8</v>
          </cell>
          <cell r="U27">
            <v>8</v>
          </cell>
          <cell r="V27">
            <v>8</v>
          </cell>
          <cell r="W27">
            <v>1</v>
          </cell>
        </row>
        <row r="28">
          <cell r="B28">
            <v>17032001</v>
          </cell>
          <cell r="C28" t="str">
            <v>Hunter Laing</v>
          </cell>
          <cell r="D28" t="str">
            <v>Hepburn's Ch. Craigellachie 13yo</v>
          </cell>
          <cell r="F28" t="str">
            <v>Skottland</v>
          </cell>
          <cell r="G28" t="str">
            <v>Single Malt Whisky</v>
          </cell>
          <cell r="H28">
            <v>0.7</v>
          </cell>
          <cell r="I28">
            <v>46</v>
          </cell>
          <cell r="J28">
            <v>1049.9000000000001</v>
          </cell>
          <cell r="K28" t="str">
            <v>Distillium AS</v>
          </cell>
          <cell r="L28" t="str">
            <v>Skanlog</v>
          </cell>
          <cell r="M28">
            <v>66</v>
          </cell>
          <cell r="N28">
            <v>10</v>
          </cell>
          <cell r="O28">
            <v>8</v>
          </cell>
          <cell r="P28">
            <v>8</v>
          </cell>
          <cell r="Q28">
            <v>8</v>
          </cell>
          <cell r="R28">
            <v>8</v>
          </cell>
          <cell r="S28">
            <v>8</v>
          </cell>
          <cell r="U28">
            <v>8</v>
          </cell>
          <cell r="V28">
            <v>8</v>
          </cell>
          <cell r="W28">
            <v>1</v>
          </cell>
        </row>
        <row r="29">
          <cell r="B29">
            <v>17031901</v>
          </cell>
          <cell r="C29" t="str">
            <v>Hunter Laing</v>
          </cell>
          <cell r="D29" t="str">
            <v>Old Malt Cask Caol Ila 13yo</v>
          </cell>
          <cell r="F29" t="str">
            <v>Skottland</v>
          </cell>
          <cell r="G29" t="str">
            <v>Single Malt Whisky</v>
          </cell>
          <cell r="H29">
            <v>0.7</v>
          </cell>
          <cell r="I29">
            <v>50</v>
          </cell>
          <cell r="J29">
            <v>1899.9</v>
          </cell>
          <cell r="K29" t="str">
            <v>Distillium AS</v>
          </cell>
          <cell r="L29" t="str">
            <v>Skanlog</v>
          </cell>
          <cell r="M29">
            <v>60</v>
          </cell>
          <cell r="N29">
            <v>8</v>
          </cell>
          <cell r="O29">
            <v>6</v>
          </cell>
          <cell r="P29">
            <v>6</v>
          </cell>
          <cell r="Q29">
            <v>6</v>
          </cell>
          <cell r="R29">
            <v>6</v>
          </cell>
          <cell r="S29">
            <v>6</v>
          </cell>
          <cell r="T29">
            <v>10</v>
          </cell>
          <cell r="U29">
            <v>6</v>
          </cell>
          <cell r="V29">
            <v>6</v>
          </cell>
          <cell r="W29">
            <v>1</v>
          </cell>
        </row>
        <row r="30">
          <cell r="B30">
            <v>17031801</v>
          </cell>
          <cell r="C30" t="str">
            <v>Hunter Laing</v>
          </cell>
          <cell r="D30" t="str">
            <v>Old Malt Cask Glen Keith 30yo</v>
          </cell>
          <cell r="F30" t="str">
            <v>Skottland</v>
          </cell>
          <cell r="G30" t="str">
            <v>Single Malt Whisky</v>
          </cell>
          <cell r="H30">
            <v>0.7</v>
          </cell>
          <cell r="I30">
            <v>50</v>
          </cell>
          <cell r="J30">
            <v>4799.8999999999996</v>
          </cell>
          <cell r="K30" t="str">
            <v>Distillium AS</v>
          </cell>
          <cell r="L30" t="str">
            <v>Skanlog</v>
          </cell>
          <cell r="M30">
            <v>12</v>
          </cell>
          <cell r="N30">
            <v>3</v>
          </cell>
          <cell r="O30">
            <v>2</v>
          </cell>
          <cell r="P30">
            <v>1</v>
          </cell>
          <cell r="Q30">
            <v>2</v>
          </cell>
          <cell r="R30">
            <v>1</v>
          </cell>
          <cell r="S30">
            <v>1</v>
          </cell>
          <cell r="U30">
            <v>1</v>
          </cell>
          <cell r="V30">
            <v>1</v>
          </cell>
          <cell r="W30">
            <v>1</v>
          </cell>
        </row>
        <row r="31">
          <cell r="B31">
            <v>17031601</v>
          </cell>
          <cell r="C31" t="str">
            <v>Hunter Laing</v>
          </cell>
          <cell r="D31" t="str">
            <v>Old Malt Cask Linkwood 13yo</v>
          </cell>
          <cell r="F31" t="str">
            <v>Skottland</v>
          </cell>
          <cell r="G31" t="str">
            <v>Single Malt Whisky</v>
          </cell>
          <cell r="H31">
            <v>0.7</v>
          </cell>
          <cell r="I31">
            <v>50</v>
          </cell>
          <cell r="J31">
            <v>1399.9</v>
          </cell>
          <cell r="K31" t="str">
            <v>Distillium AS</v>
          </cell>
          <cell r="L31" t="str">
            <v>Skanlog</v>
          </cell>
          <cell r="M31">
            <v>120</v>
          </cell>
          <cell r="N31">
            <v>14</v>
          </cell>
          <cell r="O31">
            <v>14</v>
          </cell>
          <cell r="P31">
            <v>14</v>
          </cell>
          <cell r="Q31">
            <v>14</v>
          </cell>
          <cell r="R31">
            <v>10</v>
          </cell>
          <cell r="S31">
            <v>14</v>
          </cell>
          <cell r="T31">
            <v>12</v>
          </cell>
          <cell r="U31">
            <v>14</v>
          </cell>
          <cell r="V31">
            <v>14</v>
          </cell>
          <cell r="W31">
            <v>1</v>
          </cell>
        </row>
        <row r="32">
          <cell r="B32">
            <v>3597401</v>
          </cell>
          <cell r="C32" t="str">
            <v xml:space="preserve">Macallan </v>
          </cell>
          <cell r="D32" t="str">
            <v>Macallan Rare Cask</v>
          </cell>
          <cell r="E32">
            <v>2023</v>
          </cell>
          <cell r="F32" t="str">
            <v>Skottland</v>
          </cell>
          <cell r="G32" t="str">
            <v>Single Malt Whisky</v>
          </cell>
          <cell r="H32">
            <v>0.7</v>
          </cell>
          <cell r="I32">
            <v>43</v>
          </cell>
          <cell r="J32">
            <v>3699.9</v>
          </cell>
          <cell r="K32" t="str">
            <v>Edrington Norway As</v>
          </cell>
          <cell r="L32" t="str">
            <v>Vectura</v>
          </cell>
          <cell r="M32">
            <v>20</v>
          </cell>
          <cell r="N32">
            <v>4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2</v>
          </cell>
          <cell r="T32">
            <v>2</v>
          </cell>
          <cell r="U32">
            <v>2</v>
          </cell>
          <cell r="V32">
            <v>2</v>
          </cell>
          <cell r="W32">
            <v>1</v>
          </cell>
        </row>
        <row r="33">
          <cell r="B33">
            <v>17032904</v>
          </cell>
          <cell r="C33" t="str">
            <v>Lagavulin Dist.</v>
          </cell>
          <cell r="D33" t="str">
            <v>Lagavulin 12YO SR</v>
          </cell>
          <cell r="F33" t="str">
            <v>Skottland</v>
          </cell>
          <cell r="G33" t="str">
            <v>Single Malt Whisky</v>
          </cell>
          <cell r="H33">
            <v>0.2</v>
          </cell>
          <cell r="I33">
            <v>56.4</v>
          </cell>
          <cell r="J33">
            <v>774.3</v>
          </cell>
          <cell r="K33" t="str">
            <v>Engelstad Spirits AS</v>
          </cell>
          <cell r="L33" t="str">
            <v>Cuveco</v>
          </cell>
          <cell r="M33">
            <v>192</v>
          </cell>
          <cell r="N33">
            <v>24</v>
          </cell>
          <cell r="O33">
            <v>20</v>
          </cell>
          <cell r="P33">
            <v>20</v>
          </cell>
          <cell r="Q33">
            <v>20</v>
          </cell>
          <cell r="R33">
            <v>20</v>
          </cell>
          <cell r="S33">
            <v>20</v>
          </cell>
          <cell r="T33">
            <v>28</v>
          </cell>
          <cell r="U33">
            <v>20</v>
          </cell>
          <cell r="V33">
            <v>20</v>
          </cell>
        </row>
        <row r="34">
          <cell r="B34">
            <v>17033101</v>
          </cell>
          <cell r="C34" t="str">
            <v>Lagavulin Dist.</v>
          </cell>
          <cell r="D34" t="str">
            <v>Lagavulin 12YO SR</v>
          </cell>
          <cell r="F34" t="str">
            <v>Skottland</v>
          </cell>
          <cell r="G34" t="str">
            <v>Single Malt Whisky</v>
          </cell>
          <cell r="H34">
            <v>0.7</v>
          </cell>
          <cell r="I34">
            <v>56.4</v>
          </cell>
          <cell r="J34">
            <v>2156.8000000000002</v>
          </cell>
          <cell r="K34" t="str">
            <v>Engelstad Spirits AS</v>
          </cell>
          <cell r="L34" t="str">
            <v>Cuveco</v>
          </cell>
          <cell r="M34">
            <v>102</v>
          </cell>
          <cell r="N34">
            <v>12</v>
          </cell>
          <cell r="O34">
            <v>10</v>
          </cell>
          <cell r="P34">
            <v>10</v>
          </cell>
          <cell r="Q34">
            <v>10</v>
          </cell>
          <cell r="R34">
            <v>10</v>
          </cell>
          <cell r="S34">
            <v>10</v>
          </cell>
          <cell r="T34">
            <v>20</v>
          </cell>
          <cell r="U34">
            <v>10</v>
          </cell>
          <cell r="V34">
            <v>10</v>
          </cell>
          <cell r="W34">
            <v>1</v>
          </cell>
          <cell r="Y34">
            <v>1</v>
          </cell>
        </row>
        <row r="35">
          <cell r="B35">
            <v>17033001</v>
          </cell>
          <cell r="C35" t="str">
            <v>Oban Distillery</v>
          </cell>
          <cell r="D35" t="str">
            <v>Oban 11YO SR</v>
          </cell>
          <cell r="F35" t="str">
            <v>Skottland</v>
          </cell>
          <cell r="G35" t="str">
            <v>Single Malt Whisky</v>
          </cell>
          <cell r="H35">
            <v>0.7</v>
          </cell>
          <cell r="I35">
            <v>58</v>
          </cell>
          <cell r="J35">
            <v>1880.3</v>
          </cell>
          <cell r="K35" t="str">
            <v>Engelstad Spirits AS</v>
          </cell>
          <cell r="L35" t="str">
            <v>Cuveco</v>
          </cell>
          <cell r="M35">
            <v>102</v>
          </cell>
          <cell r="N35">
            <v>12</v>
          </cell>
          <cell r="O35">
            <v>10</v>
          </cell>
          <cell r="P35">
            <v>10</v>
          </cell>
          <cell r="Q35">
            <v>10</v>
          </cell>
          <cell r="R35">
            <v>10</v>
          </cell>
          <cell r="S35">
            <v>10</v>
          </cell>
          <cell r="T35">
            <v>20</v>
          </cell>
          <cell r="U35">
            <v>10</v>
          </cell>
          <cell r="V35">
            <v>10</v>
          </cell>
          <cell r="W35">
            <v>1</v>
          </cell>
        </row>
        <row r="36">
          <cell r="B36">
            <v>17032701</v>
          </cell>
          <cell r="C36" t="str">
            <v>Glendullan Dist</v>
          </cell>
          <cell r="D36" t="str">
            <v>Singelton of Glendullan 14YO SR</v>
          </cell>
          <cell r="F36" t="str">
            <v>Skottland</v>
          </cell>
          <cell r="G36" t="str">
            <v>Single Malt Whisky</v>
          </cell>
          <cell r="H36">
            <v>0.7</v>
          </cell>
          <cell r="I36">
            <v>55</v>
          </cell>
          <cell r="J36">
            <v>1567.7</v>
          </cell>
          <cell r="K36" t="str">
            <v>Engelstad Spirits AS</v>
          </cell>
          <cell r="L36" t="str">
            <v>Cuveco</v>
          </cell>
          <cell r="M36">
            <v>120</v>
          </cell>
          <cell r="N36">
            <v>15</v>
          </cell>
          <cell r="O36">
            <v>15</v>
          </cell>
          <cell r="P36">
            <v>15</v>
          </cell>
          <cell r="Q36">
            <v>15</v>
          </cell>
          <cell r="R36">
            <v>15</v>
          </cell>
          <cell r="S36">
            <v>15</v>
          </cell>
          <cell r="U36">
            <v>15</v>
          </cell>
          <cell r="V36">
            <v>15</v>
          </cell>
          <cell r="W36">
            <v>1</v>
          </cell>
        </row>
        <row r="37">
          <cell r="B37">
            <v>17032804</v>
          </cell>
          <cell r="C37" t="str">
            <v>Glendullan Dist</v>
          </cell>
          <cell r="D37" t="str">
            <v>Singelton of Glendullan 14YO SR</v>
          </cell>
          <cell r="F37" t="str">
            <v>Skottland</v>
          </cell>
          <cell r="G37" t="str">
            <v>Single Malt Whisky</v>
          </cell>
          <cell r="H37">
            <v>0.2</v>
          </cell>
          <cell r="I37">
            <v>55</v>
          </cell>
          <cell r="J37">
            <v>574.29999999999995</v>
          </cell>
          <cell r="K37" t="str">
            <v>Engelstad Spirits AS</v>
          </cell>
          <cell r="L37" t="str">
            <v>Cuveco</v>
          </cell>
          <cell r="M37">
            <v>240</v>
          </cell>
          <cell r="N37">
            <v>30</v>
          </cell>
          <cell r="O37">
            <v>30</v>
          </cell>
          <cell r="P37">
            <v>30</v>
          </cell>
          <cell r="Q37">
            <v>30</v>
          </cell>
          <cell r="R37">
            <v>30</v>
          </cell>
          <cell r="S37">
            <v>30</v>
          </cell>
          <cell r="U37">
            <v>30</v>
          </cell>
          <cell r="V37">
            <v>30</v>
          </cell>
        </row>
        <row r="38">
          <cell r="B38">
            <v>17032601</v>
          </cell>
          <cell r="C38" t="str">
            <v>Talisker Dist.</v>
          </cell>
          <cell r="D38" t="str">
            <v>Talisker Special Release</v>
          </cell>
          <cell r="F38" t="str">
            <v>Skottland</v>
          </cell>
          <cell r="G38" t="str">
            <v>Single Malt Whisky</v>
          </cell>
          <cell r="H38">
            <v>0.7</v>
          </cell>
          <cell r="I38">
            <v>59.7</v>
          </cell>
          <cell r="J38">
            <v>1680.3</v>
          </cell>
          <cell r="K38" t="str">
            <v>Engelstad Spirits AS</v>
          </cell>
          <cell r="L38" t="str">
            <v>Cuveco</v>
          </cell>
          <cell r="M38">
            <v>102</v>
          </cell>
          <cell r="N38">
            <v>12</v>
          </cell>
          <cell r="O38">
            <v>10</v>
          </cell>
          <cell r="P38">
            <v>10</v>
          </cell>
          <cell r="Q38">
            <v>10</v>
          </cell>
          <cell r="R38">
            <v>10</v>
          </cell>
          <cell r="S38">
            <v>10</v>
          </cell>
          <cell r="T38">
            <v>20</v>
          </cell>
          <cell r="U38">
            <v>10</v>
          </cell>
          <cell r="V38">
            <v>10</v>
          </cell>
          <cell r="W38">
            <v>1</v>
          </cell>
        </row>
        <row r="39">
          <cell r="B39">
            <v>17032504</v>
          </cell>
          <cell r="C39" t="str">
            <v>Talisker Dist.</v>
          </cell>
          <cell r="D39" t="str">
            <v>Talisker Special Release</v>
          </cell>
          <cell r="F39" t="str">
            <v>Skottland</v>
          </cell>
          <cell r="G39" t="str">
            <v>Single Malt Whisky</v>
          </cell>
          <cell r="H39">
            <v>0.2</v>
          </cell>
          <cell r="I39">
            <v>59.7</v>
          </cell>
          <cell r="J39">
            <v>514.29999999999995</v>
          </cell>
          <cell r="K39" t="str">
            <v>Engelstad Spirits AS</v>
          </cell>
          <cell r="L39" t="str">
            <v>Cuveco</v>
          </cell>
          <cell r="M39">
            <v>192</v>
          </cell>
          <cell r="N39">
            <v>24</v>
          </cell>
          <cell r="O39">
            <v>20</v>
          </cell>
          <cell r="P39">
            <v>20</v>
          </cell>
          <cell r="Q39">
            <v>20</v>
          </cell>
          <cell r="R39">
            <v>20</v>
          </cell>
          <cell r="S39">
            <v>20</v>
          </cell>
          <cell r="T39">
            <v>28</v>
          </cell>
          <cell r="U39">
            <v>20</v>
          </cell>
          <cell r="V39">
            <v>20</v>
          </cell>
        </row>
        <row r="40">
          <cell r="B40">
            <v>17033201</v>
          </cell>
          <cell r="C40" t="str">
            <v>Clynelish Dist.</v>
          </cell>
          <cell r="D40" t="str">
            <v>Clynelish 10YO SR</v>
          </cell>
          <cell r="F40" t="str">
            <v>Skottland</v>
          </cell>
          <cell r="G40" t="str">
            <v>Single Malt Whisky</v>
          </cell>
          <cell r="H40">
            <v>0.7</v>
          </cell>
          <cell r="I40">
            <v>57.5</v>
          </cell>
          <cell r="J40">
            <v>2065.6</v>
          </cell>
          <cell r="K40" t="str">
            <v>Engelstad Spirits AS</v>
          </cell>
          <cell r="L40" t="str">
            <v>Cuveco</v>
          </cell>
          <cell r="M40">
            <v>132</v>
          </cell>
          <cell r="N40">
            <v>14</v>
          </cell>
          <cell r="O40">
            <v>14</v>
          </cell>
          <cell r="P40">
            <v>14</v>
          </cell>
          <cell r="Q40">
            <v>14</v>
          </cell>
          <cell r="R40">
            <v>14</v>
          </cell>
          <cell r="S40">
            <v>14</v>
          </cell>
          <cell r="T40">
            <v>20</v>
          </cell>
          <cell r="U40">
            <v>14</v>
          </cell>
          <cell r="V40">
            <v>14</v>
          </cell>
          <cell r="W40">
            <v>1</v>
          </cell>
          <cell r="Y40">
            <v>1</v>
          </cell>
        </row>
        <row r="41">
          <cell r="B41">
            <v>17033301</v>
          </cell>
          <cell r="C41" t="str">
            <v>Glenkinchie Distillery</v>
          </cell>
          <cell r="D41" t="str">
            <v>Glenkinchie 27 YO SR </v>
          </cell>
          <cell r="F41" t="str">
            <v>Skottland</v>
          </cell>
          <cell r="G41" t="str">
            <v>Single Malt Whisky</v>
          </cell>
          <cell r="H41">
            <v>0.7</v>
          </cell>
          <cell r="I41">
            <v>58.3</v>
          </cell>
          <cell r="J41">
            <v>4024.9</v>
          </cell>
          <cell r="K41" t="str">
            <v>Engelstad Spirits AS</v>
          </cell>
          <cell r="L41" t="str">
            <v>Cuveco</v>
          </cell>
          <cell r="M41">
            <v>30</v>
          </cell>
          <cell r="N41">
            <v>4</v>
          </cell>
          <cell r="O41">
            <v>4</v>
          </cell>
          <cell r="P41">
            <v>4</v>
          </cell>
          <cell r="Q41">
            <v>4</v>
          </cell>
          <cell r="R41">
            <v>3</v>
          </cell>
          <cell r="S41">
            <v>4</v>
          </cell>
          <cell r="U41">
            <v>3</v>
          </cell>
          <cell r="V41">
            <v>4</v>
          </cell>
          <cell r="W41">
            <v>1</v>
          </cell>
        </row>
        <row r="42">
          <cell r="B42">
            <v>17035304</v>
          </cell>
          <cell r="C42" t="str">
            <v>Roseisle Distillery</v>
          </cell>
          <cell r="D42" t="str">
            <v>Roseisle 12YO SR</v>
          </cell>
          <cell r="F42" t="str">
            <v>Skottland</v>
          </cell>
          <cell r="G42" t="str">
            <v>Single Malt Whisky</v>
          </cell>
          <cell r="H42">
            <v>0.2</v>
          </cell>
          <cell r="I42">
            <v>56.5</v>
          </cell>
          <cell r="J42">
            <v>597.4</v>
          </cell>
          <cell r="K42" t="str">
            <v>Engelstad Spirits AS</v>
          </cell>
          <cell r="L42" t="str">
            <v>Cuveco</v>
          </cell>
          <cell r="M42">
            <v>240</v>
          </cell>
          <cell r="N42">
            <v>30</v>
          </cell>
          <cell r="O42">
            <v>30</v>
          </cell>
          <cell r="P42">
            <v>30</v>
          </cell>
          <cell r="Q42">
            <v>30</v>
          </cell>
          <cell r="R42">
            <v>30</v>
          </cell>
          <cell r="S42">
            <v>30</v>
          </cell>
          <cell r="U42">
            <v>30</v>
          </cell>
          <cell r="V42">
            <v>30</v>
          </cell>
        </row>
        <row r="43">
          <cell r="B43">
            <v>17035401</v>
          </cell>
          <cell r="C43" t="str">
            <v>Roseisle Distillery</v>
          </cell>
          <cell r="D43" t="str">
            <v>Roseisle 12YO SR</v>
          </cell>
          <cell r="F43" t="str">
            <v>Skottland</v>
          </cell>
          <cell r="G43" t="str">
            <v>Single Malt Whisky</v>
          </cell>
          <cell r="H43">
            <v>0.7</v>
          </cell>
          <cell r="I43">
            <v>56.5</v>
          </cell>
          <cell r="J43">
            <v>1699.9</v>
          </cell>
          <cell r="K43" t="str">
            <v>Engelstad Spirits AS</v>
          </cell>
          <cell r="L43" t="str">
            <v>Cuveco</v>
          </cell>
          <cell r="M43">
            <v>90</v>
          </cell>
          <cell r="N43">
            <v>10</v>
          </cell>
          <cell r="O43">
            <v>10</v>
          </cell>
          <cell r="P43">
            <v>10</v>
          </cell>
          <cell r="Q43">
            <v>10</v>
          </cell>
          <cell r="R43">
            <v>10</v>
          </cell>
          <cell r="S43">
            <v>10</v>
          </cell>
          <cell r="T43">
            <v>10</v>
          </cell>
          <cell r="U43">
            <v>10</v>
          </cell>
          <cell r="V43">
            <v>10</v>
          </cell>
          <cell r="W43">
            <v>1</v>
          </cell>
        </row>
        <row r="44">
          <cell r="B44">
            <v>17034501</v>
          </cell>
          <cell r="C44" t="str">
            <v>Adelphi</v>
          </cell>
          <cell r="D44" t="str">
            <v xml:space="preserve">Caol Ila </v>
          </cell>
          <cell r="E44">
            <v>2016</v>
          </cell>
          <cell r="F44" t="str">
            <v>Skottland</v>
          </cell>
          <cell r="G44" t="str">
            <v>Single Malt Whisky</v>
          </cell>
          <cell r="H44">
            <v>0.7</v>
          </cell>
          <cell r="I44">
            <v>58.5</v>
          </cell>
          <cell r="J44">
            <v>2167.9</v>
          </cell>
          <cell r="K44" t="str">
            <v>Malt Norge</v>
          </cell>
          <cell r="L44" t="str">
            <v>Vectura</v>
          </cell>
          <cell r="M44">
            <v>6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S44">
            <v>1</v>
          </cell>
          <cell r="V44">
            <v>1</v>
          </cell>
          <cell r="Y44">
            <v>1</v>
          </cell>
        </row>
        <row r="45">
          <cell r="B45">
            <v>17033701</v>
          </cell>
          <cell r="C45" t="str">
            <v>Adelphi</v>
          </cell>
          <cell r="D45" t="str">
            <v>Ben Nevis</v>
          </cell>
          <cell r="E45">
            <v>2012</v>
          </cell>
          <cell r="F45" t="str">
            <v>Skottland</v>
          </cell>
          <cell r="G45" t="str">
            <v>Single Malt Whisky</v>
          </cell>
          <cell r="H45">
            <v>0.7</v>
          </cell>
          <cell r="I45">
            <v>58.6</v>
          </cell>
          <cell r="J45">
            <v>1412.1</v>
          </cell>
          <cell r="K45" t="str">
            <v>Malt Norge</v>
          </cell>
          <cell r="L45" t="str">
            <v>Vectura</v>
          </cell>
          <cell r="M45">
            <v>6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U45">
            <v>1</v>
          </cell>
          <cell r="V45">
            <v>1</v>
          </cell>
          <cell r="Y45">
            <v>1</v>
          </cell>
        </row>
        <row r="46">
          <cell r="B46">
            <v>17033801</v>
          </cell>
          <cell r="C46" t="str">
            <v>Adelphi</v>
          </cell>
          <cell r="D46" t="str">
            <v>Benrinnes</v>
          </cell>
          <cell r="E46">
            <v>2011</v>
          </cell>
          <cell r="F46" t="str">
            <v>Skottland</v>
          </cell>
          <cell r="G46" t="str">
            <v>Single Malt Whisky</v>
          </cell>
          <cell r="H46">
            <v>0.7</v>
          </cell>
          <cell r="I46">
            <v>52</v>
          </cell>
          <cell r="J46">
            <v>1413.3</v>
          </cell>
          <cell r="K46" t="str">
            <v>Malt Norge</v>
          </cell>
          <cell r="L46" t="str">
            <v>Vectura</v>
          </cell>
          <cell r="M46">
            <v>6</v>
          </cell>
          <cell r="N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U46">
            <v>1</v>
          </cell>
          <cell r="Y46">
            <v>1</v>
          </cell>
        </row>
        <row r="47">
          <cell r="B47">
            <v>17034001</v>
          </cell>
          <cell r="C47" t="str">
            <v>Adelphi</v>
          </cell>
          <cell r="D47" t="str">
            <v>Ardnamurchan</v>
          </cell>
          <cell r="E47">
            <v>2014</v>
          </cell>
          <cell r="F47" t="str">
            <v>Skottland</v>
          </cell>
          <cell r="G47" t="str">
            <v>Single Malt Whisky</v>
          </cell>
          <cell r="H47">
            <v>0.7</v>
          </cell>
          <cell r="I47">
            <v>57.4</v>
          </cell>
          <cell r="J47">
            <v>1503.9</v>
          </cell>
          <cell r="K47" t="str">
            <v>Malt Norge</v>
          </cell>
          <cell r="L47" t="str">
            <v>Vectura</v>
          </cell>
          <cell r="M47">
            <v>12</v>
          </cell>
          <cell r="N47">
            <v>3</v>
          </cell>
          <cell r="O47">
            <v>1</v>
          </cell>
          <cell r="P47">
            <v>1</v>
          </cell>
          <cell r="Q47">
            <v>2</v>
          </cell>
          <cell r="R47">
            <v>1</v>
          </cell>
          <cell r="S47">
            <v>1</v>
          </cell>
          <cell r="U47">
            <v>1</v>
          </cell>
          <cell r="V47">
            <v>2</v>
          </cell>
          <cell r="W47">
            <v>1</v>
          </cell>
          <cell r="Y47">
            <v>1</v>
          </cell>
        </row>
        <row r="48">
          <cell r="B48">
            <v>17034301</v>
          </cell>
          <cell r="C48" t="str">
            <v>Adelphi</v>
          </cell>
          <cell r="D48" t="str">
            <v>Clynelish</v>
          </cell>
          <cell r="E48">
            <v>2011</v>
          </cell>
          <cell r="F48" t="str">
            <v>Skottland</v>
          </cell>
          <cell r="G48" t="str">
            <v>Single Malt Whisky</v>
          </cell>
          <cell r="H48">
            <v>0.7</v>
          </cell>
          <cell r="I48">
            <v>58.3</v>
          </cell>
          <cell r="J48">
            <v>1591.2</v>
          </cell>
          <cell r="K48" t="str">
            <v>Malt Norge</v>
          </cell>
          <cell r="L48" t="str">
            <v>Vectura</v>
          </cell>
          <cell r="M48">
            <v>6</v>
          </cell>
          <cell r="N48">
            <v>1</v>
          </cell>
          <cell r="O48">
            <v>1</v>
          </cell>
          <cell r="R48">
            <v>1</v>
          </cell>
          <cell r="S48">
            <v>1</v>
          </cell>
          <cell r="U48">
            <v>1</v>
          </cell>
          <cell r="V48">
            <v>1</v>
          </cell>
          <cell r="Y48">
            <v>1</v>
          </cell>
        </row>
        <row r="49">
          <cell r="B49">
            <v>17034201</v>
          </cell>
          <cell r="C49" t="str">
            <v>Adelphi</v>
          </cell>
          <cell r="D49" t="str">
            <v>Akkeshi</v>
          </cell>
          <cell r="E49">
            <v>2018</v>
          </cell>
          <cell r="F49" t="str">
            <v>Skottland</v>
          </cell>
          <cell r="G49" t="str">
            <v>Single Malt Whisky</v>
          </cell>
          <cell r="H49">
            <v>0.7</v>
          </cell>
          <cell r="I49">
            <v>57.8</v>
          </cell>
          <cell r="J49">
            <v>1613.3</v>
          </cell>
          <cell r="K49" t="str">
            <v>Malt Norge</v>
          </cell>
          <cell r="L49" t="str">
            <v>Vectura</v>
          </cell>
          <cell r="M49">
            <v>12</v>
          </cell>
          <cell r="N49">
            <v>3</v>
          </cell>
          <cell r="O49">
            <v>2</v>
          </cell>
          <cell r="P49">
            <v>1</v>
          </cell>
          <cell r="Q49">
            <v>1</v>
          </cell>
          <cell r="R49">
            <v>1</v>
          </cell>
          <cell r="S49">
            <v>2</v>
          </cell>
          <cell r="U49">
            <v>1</v>
          </cell>
          <cell r="V49">
            <v>1</v>
          </cell>
          <cell r="W49">
            <v>1</v>
          </cell>
        </row>
        <row r="50">
          <cell r="B50">
            <v>17034601</v>
          </cell>
          <cell r="C50" t="str">
            <v>Adelphi</v>
          </cell>
          <cell r="D50" t="str">
            <v>Imperial</v>
          </cell>
          <cell r="E50">
            <v>1996</v>
          </cell>
          <cell r="F50" t="str">
            <v>Skottland</v>
          </cell>
          <cell r="G50" t="str">
            <v>Single Malt Whisky</v>
          </cell>
          <cell r="H50">
            <v>0.7</v>
          </cell>
          <cell r="I50">
            <v>52.4</v>
          </cell>
          <cell r="J50">
            <v>6525.7</v>
          </cell>
          <cell r="K50" t="str">
            <v>Malt Norge</v>
          </cell>
          <cell r="L50" t="str">
            <v>Vectura</v>
          </cell>
          <cell r="M50">
            <v>6</v>
          </cell>
          <cell r="N50">
            <v>1</v>
          </cell>
          <cell r="O50">
            <v>1</v>
          </cell>
          <cell r="Q50">
            <v>1</v>
          </cell>
          <cell r="S50">
            <v>1</v>
          </cell>
          <cell r="U50">
            <v>1</v>
          </cell>
          <cell r="V50">
            <v>1</v>
          </cell>
          <cell r="W50">
            <v>1</v>
          </cell>
          <cell r="Y50">
            <v>1</v>
          </cell>
        </row>
        <row r="51">
          <cell r="B51">
            <v>17033601</v>
          </cell>
          <cell r="C51" t="str">
            <v>Ardnamurchan</v>
          </cell>
          <cell r="D51" t="str">
            <v>Rum Cask Release</v>
          </cell>
          <cell r="F51" t="str">
            <v>Skottland</v>
          </cell>
          <cell r="G51" t="str">
            <v>Single Malt Whisky</v>
          </cell>
          <cell r="H51">
            <v>0.7</v>
          </cell>
          <cell r="I51">
            <v>55</v>
          </cell>
          <cell r="J51">
            <v>999.9</v>
          </cell>
          <cell r="K51" t="str">
            <v>Malt Norge</v>
          </cell>
          <cell r="L51" t="str">
            <v>vectura</v>
          </cell>
          <cell r="M51">
            <v>120</v>
          </cell>
          <cell r="N51">
            <v>14</v>
          </cell>
          <cell r="O51">
            <v>13</v>
          </cell>
          <cell r="P51">
            <v>13</v>
          </cell>
          <cell r="Q51">
            <v>13</v>
          </cell>
          <cell r="R51">
            <v>12</v>
          </cell>
          <cell r="S51">
            <v>13</v>
          </cell>
          <cell r="T51">
            <v>16</v>
          </cell>
          <cell r="U51">
            <v>13</v>
          </cell>
          <cell r="V51">
            <v>13</v>
          </cell>
          <cell r="W51">
            <v>1</v>
          </cell>
        </row>
        <row r="52">
          <cell r="B52">
            <v>17037801</v>
          </cell>
          <cell r="C52" t="str">
            <v>J&amp;G Grant</v>
          </cell>
          <cell r="D52" t="str">
            <v>Glenfarclas Family Casks 2004 Port Pipe Cask #1106</v>
          </cell>
          <cell r="E52">
            <v>2004</v>
          </cell>
          <cell r="F52" t="str">
            <v>Skottland</v>
          </cell>
          <cell r="G52" t="str">
            <v>Single Malt Whisky</v>
          </cell>
          <cell r="H52">
            <v>0.7</v>
          </cell>
          <cell r="I52">
            <v>54.2</v>
          </cell>
          <cell r="J52">
            <v>2890</v>
          </cell>
          <cell r="K52" t="str">
            <v>Moestue Grape Selections</v>
          </cell>
          <cell r="L52" t="str">
            <v>Skanlog</v>
          </cell>
          <cell r="M52">
            <v>18</v>
          </cell>
          <cell r="N52">
            <v>4</v>
          </cell>
          <cell r="O52">
            <v>2</v>
          </cell>
          <cell r="P52">
            <v>2</v>
          </cell>
          <cell r="Q52">
            <v>2</v>
          </cell>
          <cell r="R52">
            <v>2</v>
          </cell>
          <cell r="S52">
            <v>2</v>
          </cell>
          <cell r="U52">
            <v>2</v>
          </cell>
          <cell r="V52">
            <v>2</v>
          </cell>
          <cell r="W52">
            <v>1</v>
          </cell>
          <cell r="Y52">
            <v>1</v>
          </cell>
        </row>
        <row r="53">
          <cell r="B53">
            <v>17037901</v>
          </cell>
          <cell r="C53" t="str">
            <v>Arran</v>
          </cell>
          <cell r="D53" t="str">
            <v>Arran The Signature Series Remnant Renegade</v>
          </cell>
          <cell r="F53" t="str">
            <v>Skottland</v>
          </cell>
          <cell r="G53" t="str">
            <v>Single Malt Whisky</v>
          </cell>
          <cell r="H53">
            <v>0.7</v>
          </cell>
          <cell r="I53">
            <v>46</v>
          </cell>
          <cell r="J53">
            <v>1330</v>
          </cell>
          <cell r="K53" t="str">
            <v>Moestue Grape Selections</v>
          </cell>
          <cell r="L53" t="str">
            <v>Skanlog</v>
          </cell>
          <cell r="M53">
            <v>60</v>
          </cell>
          <cell r="N53">
            <v>8</v>
          </cell>
          <cell r="O53">
            <v>8</v>
          </cell>
          <cell r="P53">
            <v>8</v>
          </cell>
          <cell r="Q53">
            <v>8</v>
          </cell>
          <cell r="R53">
            <v>6</v>
          </cell>
          <cell r="S53">
            <v>8</v>
          </cell>
          <cell r="U53">
            <v>6</v>
          </cell>
          <cell r="V53">
            <v>8</v>
          </cell>
          <cell r="W53">
            <v>1</v>
          </cell>
          <cell r="Y53">
            <v>1</v>
          </cell>
        </row>
        <row r="54">
          <cell r="B54">
            <v>16755301</v>
          </cell>
          <cell r="C54" t="str">
            <v>Lagg Distillery (Arran)</v>
          </cell>
          <cell r="D54" t="str">
            <v>Lagg Heavily Peated Kilmory</v>
          </cell>
          <cell r="F54" t="str">
            <v>Skottland</v>
          </cell>
          <cell r="G54" t="str">
            <v>Single Malt Whisky</v>
          </cell>
          <cell r="H54">
            <v>0.7</v>
          </cell>
          <cell r="I54">
            <v>46</v>
          </cell>
          <cell r="J54">
            <v>959</v>
          </cell>
          <cell r="K54" t="str">
            <v>Moestue Grape Selections</v>
          </cell>
          <cell r="L54" t="str">
            <v>Skanlog</v>
          </cell>
          <cell r="M54">
            <v>117</v>
          </cell>
          <cell r="N54">
            <v>14</v>
          </cell>
          <cell r="O54">
            <v>13</v>
          </cell>
          <cell r="P54">
            <v>13</v>
          </cell>
          <cell r="Q54">
            <v>13</v>
          </cell>
          <cell r="R54">
            <v>12</v>
          </cell>
          <cell r="S54">
            <v>13</v>
          </cell>
          <cell r="T54">
            <v>13</v>
          </cell>
          <cell r="U54">
            <v>13</v>
          </cell>
          <cell r="V54">
            <v>13</v>
          </cell>
          <cell r="W54">
            <v>1</v>
          </cell>
          <cell r="Y54">
            <v>1</v>
          </cell>
        </row>
        <row r="55">
          <cell r="B55">
            <v>17021501</v>
          </cell>
          <cell r="C55" t="str">
            <v xml:space="preserve">Glenmorangie </v>
          </cell>
          <cell r="D55" t="str">
            <v>Glenmorangie Barrel Select Calvados</v>
          </cell>
          <cell r="F55" t="str">
            <v>Skottland</v>
          </cell>
          <cell r="G55" t="str">
            <v>Single Malt Whisky</v>
          </cell>
          <cell r="H55">
            <v>0.7</v>
          </cell>
          <cell r="I55">
            <v>46</v>
          </cell>
          <cell r="J55">
            <v>849.9</v>
          </cell>
          <cell r="K55" t="str">
            <v>Moet Hennessy Norge</v>
          </cell>
          <cell r="L55" t="str">
            <v>Skanlog</v>
          </cell>
          <cell r="M55">
            <v>138</v>
          </cell>
          <cell r="N55">
            <v>16</v>
          </cell>
          <cell r="O55">
            <v>15</v>
          </cell>
          <cell r="P55">
            <v>15</v>
          </cell>
          <cell r="Q55">
            <v>15</v>
          </cell>
          <cell r="R55">
            <v>15</v>
          </cell>
          <cell r="S55">
            <v>15</v>
          </cell>
          <cell r="T55">
            <v>16</v>
          </cell>
          <cell r="U55">
            <v>15</v>
          </cell>
          <cell r="V55">
            <v>16</v>
          </cell>
          <cell r="W55">
            <v>1</v>
          </cell>
        </row>
        <row r="56">
          <cell r="B56">
            <v>17033501</v>
          </cell>
          <cell r="C56" t="str">
            <v>Hogshead</v>
          </cell>
          <cell r="D56" t="str">
            <v>Miltonduff  2010 13 yo</v>
          </cell>
          <cell r="F56" t="str">
            <v>Skottland</v>
          </cell>
          <cell r="G56" t="str">
            <v>Single Malt Whisky</v>
          </cell>
          <cell r="H56">
            <v>0.7</v>
          </cell>
          <cell r="I56">
            <v>48</v>
          </cell>
          <cell r="J56">
            <v>1599.6</v>
          </cell>
          <cell r="K56" t="str">
            <v>Palmer Spirits</v>
          </cell>
          <cell r="L56" t="str">
            <v>Cuveco</v>
          </cell>
          <cell r="M56">
            <v>100</v>
          </cell>
          <cell r="N56">
            <v>14</v>
          </cell>
          <cell r="O56">
            <v>12</v>
          </cell>
          <cell r="P56">
            <v>12</v>
          </cell>
          <cell r="Q56">
            <v>14</v>
          </cell>
          <cell r="R56">
            <v>12</v>
          </cell>
          <cell r="S56">
            <v>12</v>
          </cell>
          <cell r="U56">
            <v>12</v>
          </cell>
          <cell r="V56">
            <v>12</v>
          </cell>
          <cell r="W56">
            <v>1</v>
          </cell>
        </row>
        <row r="57">
          <cell r="B57">
            <v>14046301</v>
          </cell>
          <cell r="C57" t="str">
            <v>Chivas Brothers / Caperdonich Distillery</v>
          </cell>
          <cell r="D57" t="str">
            <v>Caperdonich 21 Year Old Peated Single Malt</v>
          </cell>
          <cell r="F57" t="str">
            <v>Skottland</v>
          </cell>
          <cell r="G57" t="str">
            <v>Single Malt Whisky</v>
          </cell>
          <cell r="H57">
            <v>0.7</v>
          </cell>
          <cell r="I57">
            <v>48</v>
          </cell>
          <cell r="J57">
            <v>2469</v>
          </cell>
          <cell r="K57" t="str">
            <v>Pernod Ricard Norway AS</v>
          </cell>
          <cell r="L57" t="str">
            <v xml:space="preserve">Skanlog </v>
          </cell>
          <cell r="M57">
            <v>10</v>
          </cell>
          <cell r="N57">
            <v>2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Y57">
            <v>1</v>
          </cell>
        </row>
        <row r="58">
          <cell r="B58">
            <v>17021901</v>
          </cell>
          <cell r="C58" t="str">
            <v>Lindores Abbey</v>
          </cell>
          <cell r="D58" t="str">
            <v>The Cask of Lindores II "Bourbon"</v>
          </cell>
          <cell r="F58" t="str">
            <v>Skottland</v>
          </cell>
          <cell r="G58" t="str">
            <v>Single Malt Whisky</v>
          </cell>
          <cell r="H58">
            <v>0.7</v>
          </cell>
          <cell r="I58">
            <v>49.4</v>
          </cell>
          <cell r="J58">
            <v>999.9</v>
          </cell>
          <cell r="K58" t="str">
            <v>Strag AS</v>
          </cell>
          <cell r="L58" t="str">
            <v>Vectura</v>
          </cell>
          <cell r="M58">
            <v>60</v>
          </cell>
          <cell r="N58">
            <v>8</v>
          </cell>
          <cell r="O58">
            <v>7</v>
          </cell>
          <cell r="P58">
            <v>8</v>
          </cell>
          <cell r="Q58">
            <v>7</v>
          </cell>
          <cell r="R58">
            <v>7</v>
          </cell>
          <cell r="S58">
            <v>8</v>
          </cell>
          <cell r="U58">
            <v>8</v>
          </cell>
          <cell r="V58">
            <v>7</v>
          </cell>
          <cell r="W58">
            <v>1</v>
          </cell>
        </row>
        <row r="59">
          <cell r="B59">
            <v>17022001</v>
          </cell>
          <cell r="C59" t="str">
            <v>Lindores Abbey</v>
          </cell>
          <cell r="D59" t="str">
            <v>Thiron Virgin Oak Single Cask Whisky</v>
          </cell>
          <cell r="F59" t="str">
            <v>Skottland</v>
          </cell>
          <cell r="G59" t="str">
            <v>Single Malt Whisky</v>
          </cell>
          <cell r="H59">
            <v>0.7</v>
          </cell>
          <cell r="I59">
            <v>58.3</v>
          </cell>
          <cell r="J59">
            <v>1199.9000000000001</v>
          </cell>
          <cell r="K59" t="str">
            <v>Strag AS</v>
          </cell>
          <cell r="L59" t="str">
            <v>Vectura</v>
          </cell>
          <cell r="M59">
            <v>60</v>
          </cell>
          <cell r="N59">
            <v>8</v>
          </cell>
          <cell r="O59">
            <v>8</v>
          </cell>
          <cell r="P59">
            <v>7</v>
          </cell>
          <cell r="Q59">
            <v>8</v>
          </cell>
          <cell r="R59">
            <v>7</v>
          </cell>
          <cell r="S59">
            <v>7</v>
          </cell>
          <cell r="U59">
            <v>7</v>
          </cell>
          <cell r="V59">
            <v>8</v>
          </cell>
          <cell r="W59">
            <v>1</v>
          </cell>
        </row>
        <row r="60">
          <cell r="B60">
            <v>13173801</v>
          </cell>
          <cell r="C60" t="str">
            <v>Calle 23</v>
          </cell>
          <cell r="D60" t="str">
            <v>Calle 23 Blanco Criollo 49,3% 70cl</v>
          </cell>
          <cell r="F60" t="str">
            <v>Mexico</v>
          </cell>
          <cell r="G60" t="str">
            <v>Tequila</v>
          </cell>
          <cell r="H60">
            <v>0.7</v>
          </cell>
          <cell r="I60">
            <v>49.3</v>
          </cell>
          <cell r="J60">
            <v>1389.6</v>
          </cell>
          <cell r="K60" t="str">
            <v>CASK</v>
          </cell>
          <cell r="L60" t="str">
            <v>Skanlog</v>
          </cell>
          <cell r="M60">
            <v>12</v>
          </cell>
          <cell r="N60">
            <v>4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U60">
            <v>2</v>
          </cell>
          <cell r="V60">
            <v>1</v>
          </cell>
          <cell r="Y60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W59" totalsRowShown="0">
  <autoFilter ref="A1:W59" xr:uid="{CE153430-30D6-498B-8322-F90321A429A2}"/>
  <sortState xmlns:xlrd2="http://schemas.microsoft.com/office/spreadsheetml/2017/richdata2" ref="A2:W43">
    <sortCondition ref="A1:A43"/>
  </sortState>
  <tableColumns count="23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/>
    <tableColumn id="8" xr3:uid="{966A4588-9E52-49FD-8016-1630C78BFBBE}" name="Volum"/>
    <tableColumn id="9" xr3:uid="{0F5559B7-A7E9-48ED-B090-7BD40934A828}" name="Alkohol" dataDxfId="2"/>
    <tableColumn id="10" xr3:uid="{AE9503CA-C150-4A73-A474-CAE601FDB3C9}" name="Salgspris" dataDxfId="1">
      <calculatedColumnFormula>VLOOKUP(Tabell2[[#This Row],[Artikkelnr.]],[1]Sheet1!$A:$CK,89,0)</calculatedColumnFormula>
    </tableColumn>
    <tableColumn id="11" xr3:uid="{811A5B8C-34F4-4C00-BB14-2C9209018212}" name="Grossist"/>
    <tableColumn id="12" xr3:uid="{0B6A9114-92C8-46AE-9BB7-404FB8D4C8A9}" name="Distributør"/>
    <tableColumn id="13" xr3:uid="{F8103985-E6C1-4CE1-A85F-0B3C1987CAC1}" name="Totalt antall">
      <calculatedColumnFormula>N2+O2+P2+Q2+R2+S2+T2+U2+V2</calculatedColumnFormula>
    </tableColumn>
    <tableColumn id="14" xr3:uid="{56FC66F6-9A83-4F9B-A991-28764E7D4C1C}" name="Fordeling Aker Brygge (114)"/>
    <tableColumn id="15" xr3:uid="{BDDD42B0-81C4-4B7A-AF52-D7B600A62993}" name="Fordeling Valkendorfsgt (150)"/>
    <tableColumn id="16" xr3:uid="{F933BE27-36CE-4F9E-A904-AEA0740158E9}" name="Fordeling Hamar (230)"/>
    <tableColumn id="17" xr3:uid="{72D91BD5-3BF8-43A7-AA09-3EA228964BCF}" name="Fordeling Sandnes Kvadrat (116)"/>
    <tableColumn id="18" xr3:uid="{DCDDFF0D-E8A6-4787-94DB-4721E3074F84}" name="Fordeling Storo (161)"/>
    <tableColumn id="19" xr3:uid="{596FF882-7109-454F-B9DF-5E7ACC159D2E}" name="Fordeling Sandefjord (283)"/>
    <tableColumn id="20" xr3:uid="{38C248A6-0530-4654-93D6-628551B91B9B}" name="Fordeling Valentinlyst (180)"/>
    <tableColumn id="21" xr3:uid="{5A908F9C-6544-4FCA-B565-C33B694DC3D3}" name="Fordeling Tromsø Langnes (282)"/>
    <tableColumn id="22" xr3:uid="{6A55439E-DE1B-47EA-97BF-92DBA19BBCB5}" name="Fordeling lager Vestby (801)"/>
    <tableColumn id="25" xr3:uid="{8E873525-338F-47D3-A823-FFFB43477970}" name="Til kvotering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W59"/>
  <sheetViews>
    <sheetView tabSelected="1" workbookViewId="0">
      <selection activeCell="A2" sqref="A2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2" width="14.85546875" customWidth="1"/>
    <col min="13" max="13" width="11.5703125" customWidth="1"/>
    <col min="14" max="22" width="14.7109375" customWidth="1"/>
    <col min="23" max="23" width="11.5703125" customWidth="1"/>
  </cols>
  <sheetData>
    <row r="1" spans="1:23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31.9" customHeight="1" x14ac:dyDescent="0.25">
      <c r="B2">
        <v>13804501</v>
      </c>
      <c r="C2" t="s">
        <v>46</v>
      </c>
      <c r="D2" t="s">
        <v>47</v>
      </c>
      <c r="F2" t="s">
        <v>33</v>
      </c>
      <c r="G2" t="s">
        <v>48</v>
      </c>
      <c r="H2" s="2">
        <v>0.7</v>
      </c>
      <c r="I2" s="2">
        <v>54</v>
      </c>
      <c r="J2" s="1">
        <f>VLOOKUP(Tabell2[[#This Row],[Artikkelnr.]],[1]Sheet1!$A:$CK,89,0)</f>
        <v>2199.6999999999998</v>
      </c>
      <c r="K2" t="s">
        <v>40</v>
      </c>
      <c r="L2" t="s">
        <v>28</v>
      </c>
      <c r="M2">
        <f>N2+O2+P2+Q2+R2+S2+T2+U2+V2</f>
        <v>191</v>
      </c>
      <c r="N2">
        <v>23</v>
      </c>
      <c r="O2">
        <v>24</v>
      </c>
      <c r="P2">
        <v>18</v>
      </c>
      <c r="Q2">
        <v>18</v>
      </c>
      <c r="R2">
        <v>18</v>
      </c>
      <c r="S2">
        <v>18</v>
      </c>
      <c r="T2">
        <v>36</v>
      </c>
      <c r="U2">
        <v>18</v>
      </c>
      <c r="V2">
        <v>18</v>
      </c>
    </row>
    <row r="3" spans="1:23" ht="31.9" customHeight="1" x14ac:dyDescent="0.25">
      <c r="B3">
        <v>16640801</v>
      </c>
      <c r="C3" t="s">
        <v>49</v>
      </c>
      <c r="D3" t="s">
        <v>50</v>
      </c>
      <c r="E3">
        <v>2001</v>
      </c>
      <c r="F3" t="s">
        <v>51</v>
      </c>
      <c r="G3" t="s">
        <v>52</v>
      </c>
      <c r="H3" s="2">
        <v>0.7</v>
      </c>
      <c r="I3" s="2">
        <v>52.1</v>
      </c>
      <c r="J3" s="1">
        <f>VLOOKUP(Tabell2[[#This Row],[Artikkelnr.]],[1]Sheet1!$A:$CK,89,0)</f>
        <v>2306.9</v>
      </c>
      <c r="K3" t="s">
        <v>144</v>
      </c>
      <c r="L3" t="s">
        <v>34</v>
      </c>
      <c r="M3">
        <f t="shared" ref="M3:M59" si="0">N3+O3+P3+Q3+R3+S3+T3+U3+V3</f>
        <v>89</v>
      </c>
      <c r="N3">
        <v>11</v>
      </c>
      <c r="O3">
        <v>12</v>
      </c>
      <c r="P3">
        <v>12</v>
      </c>
      <c r="Q3">
        <v>12</v>
      </c>
      <c r="R3">
        <v>12</v>
      </c>
      <c r="S3">
        <v>6</v>
      </c>
      <c r="T3">
        <v>6</v>
      </c>
      <c r="U3">
        <v>6</v>
      </c>
      <c r="V3">
        <v>12</v>
      </c>
    </row>
    <row r="4" spans="1:23" ht="31.9" customHeight="1" x14ac:dyDescent="0.25">
      <c r="B4">
        <v>16640901</v>
      </c>
      <c r="C4" t="s">
        <v>49</v>
      </c>
      <c r="D4" t="s">
        <v>53</v>
      </c>
      <c r="E4">
        <v>2007</v>
      </c>
      <c r="F4" t="s">
        <v>54</v>
      </c>
      <c r="G4" t="s">
        <v>52</v>
      </c>
      <c r="H4" s="2">
        <v>0.7</v>
      </c>
      <c r="I4" s="2">
        <v>47.2</v>
      </c>
      <c r="J4" s="1">
        <f>VLOOKUP(Tabell2[[#This Row],[Artikkelnr.]],[1]Sheet1!$A:$CK,89,0)</f>
        <v>1184.0999999999999</v>
      </c>
      <c r="K4" t="s">
        <v>144</v>
      </c>
      <c r="L4" t="s">
        <v>34</v>
      </c>
      <c r="M4">
        <f t="shared" si="0"/>
        <v>107</v>
      </c>
      <c r="N4">
        <v>11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</row>
    <row r="5" spans="1:23" ht="31.9" customHeight="1" x14ac:dyDescent="0.25">
      <c r="B5">
        <v>17031301</v>
      </c>
      <c r="C5" t="s">
        <v>55</v>
      </c>
      <c r="D5" t="s">
        <v>56</v>
      </c>
      <c r="E5">
        <v>2007</v>
      </c>
      <c r="F5" t="s">
        <v>57</v>
      </c>
      <c r="G5" t="s">
        <v>52</v>
      </c>
      <c r="H5" s="2">
        <v>0.7</v>
      </c>
      <c r="I5" s="2">
        <v>48.7</v>
      </c>
      <c r="J5" s="1">
        <f>VLOOKUP(Tabell2[[#This Row],[Artikkelnr.]],[1]Sheet1!$A:$CK,89,0)</f>
        <v>1278.9000000000001</v>
      </c>
      <c r="K5" t="s">
        <v>145</v>
      </c>
      <c r="L5" t="s">
        <v>34</v>
      </c>
      <c r="M5">
        <f t="shared" si="0"/>
        <v>23</v>
      </c>
      <c r="N5">
        <v>3</v>
      </c>
      <c r="O5">
        <v>4</v>
      </c>
      <c r="P5">
        <v>4</v>
      </c>
      <c r="Q5">
        <v>4</v>
      </c>
      <c r="R5">
        <v>2</v>
      </c>
      <c r="S5">
        <v>2</v>
      </c>
      <c r="T5">
        <v>2</v>
      </c>
      <c r="U5">
        <v>2</v>
      </c>
    </row>
    <row r="6" spans="1:23" ht="31.9" customHeight="1" x14ac:dyDescent="0.25">
      <c r="B6">
        <v>17031401</v>
      </c>
      <c r="C6" t="s">
        <v>58</v>
      </c>
      <c r="D6" t="s">
        <v>59</v>
      </c>
      <c r="E6">
        <v>2006</v>
      </c>
      <c r="F6" t="s">
        <v>23</v>
      </c>
      <c r="G6" t="s">
        <v>24</v>
      </c>
      <c r="H6" s="2">
        <v>0.7</v>
      </c>
      <c r="I6" s="2">
        <v>52.8</v>
      </c>
      <c r="J6" s="1">
        <f>VLOOKUP(Tabell2[[#This Row],[Artikkelnr.]],[1]Sheet1!$A:$CK,89,0)</f>
        <v>2299.9</v>
      </c>
      <c r="K6" t="s">
        <v>146</v>
      </c>
      <c r="L6" t="s">
        <v>34</v>
      </c>
      <c r="M6">
        <f t="shared" si="0"/>
        <v>59</v>
      </c>
      <c r="N6">
        <v>7</v>
      </c>
      <c r="O6">
        <v>8</v>
      </c>
      <c r="P6">
        <v>7</v>
      </c>
      <c r="Q6">
        <v>8</v>
      </c>
      <c r="R6">
        <v>7</v>
      </c>
      <c r="S6">
        <v>7</v>
      </c>
      <c r="T6">
        <v>8</v>
      </c>
      <c r="U6">
        <v>7</v>
      </c>
    </row>
    <row r="7" spans="1:23" ht="31.9" customHeight="1" x14ac:dyDescent="0.25">
      <c r="B7">
        <v>17034801</v>
      </c>
      <c r="C7" t="s">
        <v>60</v>
      </c>
      <c r="D7" t="s">
        <v>61</v>
      </c>
      <c r="E7">
        <v>2023</v>
      </c>
      <c r="F7" t="s">
        <v>38</v>
      </c>
      <c r="G7" t="s">
        <v>24</v>
      </c>
      <c r="H7" s="2">
        <v>0.7</v>
      </c>
      <c r="I7" s="2">
        <v>50</v>
      </c>
      <c r="J7" s="1">
        <f>VLOOKUP(Tabell2[[#This Row],[Artikkelnr.]],[1]Sheet1!$A:$CK,89,0)</f>
        <v>1759.9</v>
      </c>
      <c r="K7" t="s">
        <v>147</v>
      </c>
      <c r="L7" t="s">
        <v>28</v>
      </c>
      <c r="M7">
        <f t="shared" si="0"/>
        <v>24</v>
      </c>
      <c r="N7">
        <v>3</v>
      </c>
      <c r="O7">
        <v>3</v>
      </c>
      <c r="P7">
        <v>2</v>
      </c>
      <c r="Q7">
        <v>3</v>
      </c>
      <c r="R7">
        <v>2</v>
      </c>
      <c r="S7">
        <v>2</v>
      </c>
      <c r="T7">
        <v>3</v>
      </c>
      <c r="U7">
        <v>2</v>
      </c>
      <c r="V7">
        <v>4</v>
      </c>
      <c r="W7">
        <f>VLOOKUP(Tabell2[[#This Row],[Artikkelnr.]],[2]Ark1!$B:$Y,24,0)</f>
        <v>1</v>
      </c>
    </row>
    <row r="8" spans="1:23" ht="31.9" customHeight="1" x14ac:dyDescent="0.25">
      <c r="B8">
        <v>17034901</v>
      </c>
      <c r="C8" t="s">
        <v>62</v>
      </c>
      <c r="D8" t="s">
        <v>63</v>
      </c>
      <c r="E8">
        <v>2023</v>
      </c>
      <c r="F8" t="s">
        <v>23</v>
      </c>
      <c r="G8" t="s">
        <v>24</v>
      </c>
      <c r="H8" s="2">
        <v>0.7</v>
      </c>
      <c r="I8" s="2">
        <v>50</v>
      </c>
      <c r="J8" s="1">
        <f>VLOOKUP(Tabell2[[#This Row],[Artikkelnr.]],[1]Sheet1!$A:$CK,89,0)</f>
        <v>1529.9</v>
      </c>
      <c r="K8" t="s">
        <v>147</v>
      </c>
      <c r="L8" t="s">
        <v>28</v>
      </c>
      <c r="M8">
        <f t="shared" si="0"/>
        <v>57</v>
      </c>
      <c r="N8">
        <v>7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8</v>
      </c>
    </row>
    <row r="9" spans="1:23" ht="31.9" customHeight="1" x14ac:dyDescent="0.25">
      <c r="B9">
        <v>13173801</v>
      </c>
      <c r="C9" t="s">
        <v>64</v>
      </c>
      <c r="D9" t="s">
        <v>65</v>
      </c>
      <c r="F9" t="s">
        <v>32</v>
      </c>
      <c r="G9" t="s">
        <v>66</v>
      </c>
      <c r="H9" s="2">
        <v>0.7</v>
      </c>
      <c r="I9" s="2">
        <v>49.3</v>
      </c>
      <c r="J9" s="1">
        <f>VLOOKUP(Tabell2[[#This Row],[Artikkelnr.]],[1]Sheet1!$A:$CK,89,0)</f>
        <v>1389.6</v>
      </c>
      <c r="K9" t="s">
        <v>147</v>
      </c>
      <c r="L9" t="s">
        <v>28</v>
      </c>
      <c r="M9">
        <f t="shared" si="0"/>
        <v>11</v>
      </c>
      <c r="N9">
        <v>3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2</v>
      </c>
      <c r="W9">
        <f>VLOOKUP(Tabell2[[#This Row],[Artikkelnr.]],[2]Ark1!$B:$Y,24,0)</f>
        <v>1</v>
      </c>
    </row>
    <row r="10" spans="1:23" ht="31.9" customHeight="1" x14ac:dyDescent="0.25">
      <c r="B10">
        <v>12435001</v>
      </c>
      <c r="C10" t="s">
        <v>67</v>
      </c>
      <c r="D10" t="s">
        <v>68</v>
      </c>
      <c r="E10">
        <v>2023</v>
      </c>
      <c r="F10" t="s">
        <v>33</v>
      </c>
      <c r="G10" t="s">
        <v>48</v>
      </c>
      <c r="H10" s="2">
        <v>0.7</v>
      </c>
      <c r="I10" s="2">
        <v>45.6</v>
      </c>
      <c r="J10" s="1">
        <f>VLOOKUP(Tabell2[[#This Row],[Artikkelnr.]],[1]Sheet1!$A:$CK,89,0)</f>
        <v>1849.9</v>
      </c>
      <c r="K10" t="s">
        <v>147</v>
      </c>
      <c r="L10" t="s">
        <v>28</v>
      </c>
      <c r="M10">
        <f t="shared" si="0"/>
        <v>29</v>
      </c>
      <c r="N10">
        <v>3</v>
      </c>
      <c r="O10">
        <v>3</v>
      </c>
      <c r="P10">
        <v>3</v>
      </c>
      <c r="Q10">
        <v>7</v>
      </c>
      <c r="R10">
        <v>3</v>
      </c>
      <c r="S10">
        <v>3</v>
      </c>
      <c r="T10">
        <v>3</v>
      </c>
      <c r="U10">
        <v>1</v>
      </c>
      <c r="V10">
        <v>3</v>
      </c>
    </row>
    <row r="11" spans="1:23" ht="31.9" customHeight="1" x14ac:dyDescent="0.25">
      <c r="B11">
        <v>12434901</v>
      </c>
      <c r="C11" t="s">
        <v>67</v>
      </c>
      <c r="D11" t="s">
        <v>69</v>
      </c>
      <c r="E11">
        <v>2023</v>
      </c>
      <c r="F11" t="s">
        <v>33</v>
      </c>
      <c r="G11" t="s">
        <v>48</v>
      </c>
      <c r="H11" s="2">
        <v>0.7</v>
      </c>
      <c r="I11" s="2">
        <v>54</v>
      </c>
      <c r="J11" s="1">
        <f>VLOOKUP(Tabell2[[#This Row],[Artikkelnr.]],[1]Sheet1!$A:$CK,89,0)</f>
        <v>2030.9</v>
      </c>
      <c r="K11" t="s">
        <v>147</v>
      </c>
      <c r="L11" t="s">
        <v>28</v>
      </c>
      <c r="M11">
        <f t="shared" si="0"/>
        <v>35</v>
      </c>
      <c r="N11">
        <v>3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</row>
    <row r="12" spans="1:23" ht="31.9" customHeight="1" x14ac:dyDescent="0.25">
      <c r="A12" t="s">
        <v>157</v>
      </c>
      <c r="B12">
        <v>17021301</v>
      </c>
      <c r="C12" t="s">
        <v>70</v>
      </c>
      <c r="D12" t="s">
        <v>71</v>
      </c>
      <c r="F12" t="s">
        <v>23</v>
      </c>
      <c r="G12" t="s">
        <v>24</v>
      </c>
      <c r="H12" s="2">
        <v>0.7</v>
      </c>
      <c r="I12" s="2">
        <v>46</v>
      </c>
      <c r="J12" s="1">
        <f>VLOOKUP(Tabell2[[#This Row],[Artikkelnr.]],[1]Sheet1!$A:$CK,89,0)</f>
        <v>2309.4</v>
      </c>
      <c r="K12" t="s">
        <v>148</v>
      </c>
      <c r="L12" t="s">
        <v>26</v>
      </c>
      <c r="M12">
        <v>48</v>
      </c>
      <c r="N12">
        <v>6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</row>
    <row r="13" spans="1:23" ht="31.9" customHeight="1" x14ac:dyDescent="0.25">
      <c r="A13" t="s">
        <v>157</v>
      </c>
      <c r="B13">
        <v>17021201</v>
      </c>
      <c r="C13" t="s">
        <v>70</v>
      </c>
      <c r="D13" t="s">
        <v>72</v>
      </c>
      <c r="F13" t="s">
        <v>23</v>
      </c>
      <c r="G13" t="s">
        <v>24</v>
      </c>
      <c r="H13" s="2">
        <v>0.7</v>
      </c>
      <c r="I13" s="2">
        <v>46</v>
      </c>
      <c r="J13" s="1">
        <f>VLOOKUP(Tabell2[[#This Row],[Artikkelnr.]],[1]Sheet1!$A:$CK,89,0)</f>
        <v>1819.6</v>
      </c>
      <c r="K13" t="s">
        <v>148</v>
      </c>
      <c r="L13" t="s">
        <v>26</v>
      </c>
      <c r="M13">
        <v>24</v>
      </c>
      <c r="N13">
        <v>4</v>
      </c>
      <c r="O13">
        <v>3</v>
      </c>
      <c r="P13">
        <v>3</v>
      </c>
      <c r="Q13">
        <v>3</v>
      </c>
      <c r="R13">
        <v>2</v>
      </c>
      <c r="S13">
        <v>3</v>
      </c>
      <c r="T13">
        <v>3</v>
      </c>
      <c r="U13">
        <v>3</v>
      </c>
    </row>
    <row r="14" spans="1:23" ht="31.9" customHeight="1" x14ac:dyDescent="0.25">
      <c r="B14">
        <v>17031201</v>
      </c>
      <c r="C14" t="s">
        <v>73</v>
      </c>
      <c r="D14" t="s">
        <v>74</v>
      </c>
      <c r="F14" t="s">
        <v>23</v>
      </c>
      <c r="G14" t="s">
        <v>43</v>
      </c>
      <c r="H14" s="2">
        <v>0.7</v>
      </c>
      <c r="I14" s="2">
        <v>54.6</v>
      </c>
      <c r="J14" s="1">
        <f>VLOOKUP(Tabell2[[#This Row],[Artikkelnr.]],[1]Sheet1!$A:$CK,89,0)</f>
        <v>1653.7</v>
      </c>
      <c r="K14" t="s">
        <v>44</v>
      </c>
      <c r="L14" t="s">
        <v>45</v>
      </c>
      <c r="M14">
        <f t="shared" si="0"/>
        <v>59</v>
      </c>
      <c r="N14">
        <v>7</v>
      </c>
      <c r="O14">
        <v>8</v>
      </c>
      <c r="P14">
        <v>7</v>
      </c>
      <c r="Q14">
        <v>8</v>
      </c>
      <c r="R14">
        <v>7</v>
      </c>
      <c r="S14">
        <v>7</v>
      </c>
      <c r="T14">
        <v>8</v>
      </c>
      <c r="U14">
        <v>7</v>
      </c>
    </row>
    <row r="15" spans="1:23" ht="31.9" customHeight="1" x14ac:dyDescent="0.25">
      <c r="B15">
        <v>17031101</v>
      </c>
      <c r="C15" t="s">
        <v>73</v>
      </c>
      <c r="D15" t="s">
        <v>75</v>
      </c>
      <c r="F15" t="s">
        <v>23</v>
      </c>
      <c r="G15" t="s">
        <v>24</v>
      </c>
      <c r="H15" s="2">
        <v>0.7</v>
      </c>
      <c r="I15" s="2">
        <v>56</v>
      </c>
      <c r="J15" s="1">
        <f>VLOOKUP(Tabell2[[#This Row],[Artikkelnr.]],[1]Sheet1!$A:$CK,89,0)</f>
        <v>1817.3</v>
      </c>
      <c r="K15" t="s">
        <v>44</v>
      </c>
      <c r="L15" t="s">
        <v>45</v>
      </c>
      <c r="M15">
        <f t="shared" si="0"/>
        <v>59</v>
      </c>
      <c r="N15">
        <v>7</v>
      </c>
      <c r="O15">
        <v>7</v>
      </c>
      <c r="P15">
        <v>8</v>
      </c>
      <c r="Q15">
        <v>7</v>
      </c>
      <c r="R15">
        <v>7</v>
      </c>
      <c r="S15">
        <v>8</v>
      </c>
      <c r="T15">
        <v>7</v>
      </c>
      <c r="U15">
        <v>8</v>
      </c>
    </row>
    <row r="16" spans="1:23" ht="31.9" customHeight="1" x14ac:dyDescent="0.25">
      <c r="B16">
        <v>17021402</v>
      </c>
      <c r="C16" t="s">
        <v>76</v>
      </c>
      <c r="D16" t="s">
        <v>77</v>
      </c>
      <c r="F16" t="s">
        <v>35</v>
      </c>
      <c r="G16" t="s">
        <v>24</v>
      </c>
      <c r="H16" s="2">
        <v>0.5</v>
      </c>
      <c r="I16" s="2">
        <v>48.2</v>
      </c>
      <c r="J16" s="1">
        <f>VLOOKUP(Tabell2[[#This Row],[Artikkelnr.]],[1]Sheet1!$A:$CK,89,0)</f>
        <v>739.9</v>
      </c>
      <c r="K16" t="s">
        <v>149</v>
      </c>
      <c r="L16" t="s">
        <v>154</v>
      </c>
      <c r="M16">
        <f t="shared" si="0"/>
        <v>74</v>
      </c>
      <c r="N16">
        <v>9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  <c r="U16">
        <v>8</v>
      </c>
      <c r="V16">
        <v>9</v>
      </c>
    </row>
    <row r="17" spans="1:23" ht="31.9" customHeight="1" x14ac:dyDescent="0.25">
      <c r="B17">
        <v>17021801</v>
      </c>
      <c r="C17" t="s">
        <v>78</v>
      </c>
      <c r="D17" t="s">
        <v>79</v>
      </c>
      <c r="F17" t="s">
        <v>80</v>
      </c>
      <c r="G17" t="s">
        <v>24</v>
      </c>
      <c r="H17" s="2">
        <v>0.7</v>
      </c>
      <c r="I17" s="2">
        <v>55.8</v>
      </c>
      <c r="J17" s="1">
        <f>VLOOKUP(Tabell2[[#This Row],[Artikkelnr.]],[1]Sheet1!$A:$CK,89,0)</f>
        <v>1580.2</v>
      </c>
      <c r="K17" t="s">
        <v>42</v>
      </c>
      <c r="L17" t="s">
        <v>28</v>
      </c>
      <c r="M17">
        <f t="shared" si="0"/>
        <v>119</v>
      </c>
      <c r="N17">
        <v>13</v>
      </c>
      <c r="O17">
        <v>14</v>
      </c>
      <c r="P17">
        <v>12</v>
      </c>
      <c r="Q17">
        <v>14</v>
      </c>
      <c r="R17">
        <v>12</v>
      </c>
      <c r="S17">
        <v>14</v>
      </c>
      <c r="T17">
        <v>14</v>
      </c>
      <c r="U17">
        <v>14</v>
      </c>
      <c r="V17">
        <v>12</v>
      </c>
    </row>
    <row r="18" spans="1:23" ht="31.9" customHeight="1" x14ac:dyDescent="0.25">
      <c r="B18">
        <v>17021701</v>
      </c>
      <c r="C18" t="s">
        <v>81</v>
      </c>
      <c r="D18" t="s">
        <v>82</v>
      </c>
      <c r="F18" t="s">
        <v>27</v>
      </c>
      <c r="G18" t="s">
        <v>41</v>
      </c>
      <c r="H18" s="2">
        <v>0.7</v>
      </c>
      <c r="I18" s="2">
        <v>40</v>
      </c>
      <c r="J18" s="1">
        <f>VLOOKUP(Tabell2[[#This Row],[Artikkelnr.]],[1]Sheet1!$A:$CK,89,0)</f>
        <v>1080.2</v>
      </c>
      <c r="K18" t="s">
        <v>42</v>
      </c>
      <c r="L18" t="s">
        <v>28</v>
      </c>
      <c r="M18">
        <f t="shared" si="0"/>
        <v>59</v>
      </c>
      <c r="N18">
        <v>7</v>
      </c>
      <c r="O18">
        <v>6</v>
      </c>
      <c r="P18">
        <v>8</v>
      </c>
      <c r="Q18">
        <v>8</v>
      </c>
      <c r="R18">
        <v>6</v>
      </c>
      <c r="S18">
        <v>8</v>
      </c>
      <c r="T18">
        <v>8</v>
      </c>
      <c r="U18">
        <v>8</v>
      </c>
    </row>
    <row r="19" spans="1:23" ht="31.9" customHeight="1" x14ac:dyDescent="0.25">
      <c r="B19">
        <v>17031701</v>
      </c>
      <c r="C19" t="s">
        <v>83</v>
      </c>
      <c r="D19" t="s">
        <v>84</v>
      </c>
      <c r="F19" t="s">
        <v>23</v>
      </c>
      <c r="G19" t="s">
        <v>24</v>
      </c>
      <c r="H19" s="2">
        <v>0.7</v>
      </c>
      <c r="I19" s="2">
        <v>46</v>
      </c>
      <c r="J19" s="1">
        <f>VLOOKUP(Tabell2[[#This Row],[Artikkelnr.]],[1]Sheet1!$A:$CK,89,0)</f>
        <v>1599.9</v>
      </c>
      <c r="K19" t="s">
        <v>42</v>
      </c>
      <c r="L19" t="s">
        <v>28</v>
      </c>
      <c r="M19">
        <f t="shared" si="0"/>
        <v>59</v>
      </c>
      <c r="N19">
        <v>7</v>
      </c>
      <c r="O19">
        <v>8</v>
      </c>
      <c r="P19">
        <v>6</v>
      </c>
      <c r="Q19">
        <v>8</v>
      </c>
      <c r="R19">
        <v>6</v>
      </c>
      <c r="S19">
        <v>8</v>
      </c>
      <c r="T19">
        <v>8</v>
      </c>
      <c r="U19">
        <v>8</v>
      </c>
    </row>
    <row r="20" spans="1:23" ht="31.9" customHeight="1" x14ac:dyDescent="0.25">
      <c r="B20">
        <v>17032001</v>
      </c>
      <c r="C20" t="s">
        <v>83</v>
      </c>
      <c r="D20" t="s">
        <v>85</v>
      </c>
      <c r="F20" t="s">
        <v>23</v>
      </c>
      <c r="G20" t="s">
        <v>24</v>
      </c>
      <c r="H20" s="2">
        <v>0.7</v>
      </c>
      <c r="I20" s="2">
        <v>46</v>
      </c>
      <c r="J20" s="1">
        <f>VLOOKUP(Tabell2[[#This Row],[Artikkelnr.]],[1]Sheet1!$A:$CK,89,0)</f>
        <v>1049.9000000000001</v>
      </c>
      <c r="K20" t="s">
        <v>42</v>
      </c>
      <c r="L20" t="s">
        <v>28</v>
      </c>
      <c r="M20">
        <f t="shared" si="0"/>
        <v>65</v>
      </c>
      <c r="N20">
        <v>9</v>
      </c>
      <c r="O20">
        <v>8</v>
      </c>
      <c r="P20">
        <v>8</v>
      </c>
      <c r="Q20">
        <v>8</v>
      </c>
      <c r="R20">
        <v>8</v>
      </c>
      <c r="S20">
        <v>8</v>
      </c>
      <c r="T20">
        <v>8</v>
      </c>
      <c r="U20">
        <v>8</v>
      </c>
    </row>
    <row r="21" spans="1:23" ht="31.9" customHeight="1" x14ac:dyDescent="0.25">
      <c r="B21">
        <v>17031901</v>
      </c>
      <c r="C21" t="s">
        <v>83</v>
      </c>
      <c r="D21" t="s">
        <v>86</v>
      </c>
      <c r="F21" t="s">
        <v>23</v>
      </c>
      <c r="G21" t="s">
        <v>24</v>
      </c>
      <c r="H21" s="2">
        <v>0.7</v>
      </c>
      <c r="I21" s="2">
        <v>50</v>
      </c>
      <c r="J21" s="1">
        <f>VLOOKUP(Tabell2[[#This Row],[Artikkelnr.]],[1]Sheet1!$A:$CK,89,0)</f>
        <v>1899.9</v>
      </c>
      <c r="K21" t="s">
        <v>42</v>
      </c>
      <c r="L21" t="s">
        <v>28</v>
      </c>
      <c r="M21">
        <f t="shared" si="0"/>
        <v>59</v>
      </c>
      <c r="N21">
        <v>7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10</v>
      </c>
    </row>
    <row r="22" spans="1:23" ht="31.9" customHeight="1" x14ac:dyDescent="0.25">
      <c r="B22">
        <v>17031801</v>
      </c>
      <c r="C22" t="s">
        <v>83</v>
      </c>
      <c r="D22" t="s">
        <v>87</v>
      </c>
      <c r="F22" t="s">
        <v>23</v>
      </c>
      <c r="G22" t="s">
        <v>24</v>
      </c>
      <c r="H22" s="2">
        <v>0.7</v>
      </c>
      <c r="I22" s="2">
        <v>50</v>
      </c>
      <c r="J22" s="1">
        <f>VLOOKUP(Tabell2[[#This Row],[Artikkelnr.]],[1]Sheet1!$A:$CK,89,0)</f>
        <v>4799.8999999999996</v>
      </c>
      <c r="K22" t="s">
        <v>42</v>
      </c>
      <c r="L22" t="s">
        <v>28</v>
      </c>
      <c r="M22">
        <f t="shared" si="0"/>
        <v>11</v>
      </c>
      <c r="N22">
        <v>2</v>
      </c>
      <c r="O22">
        <v>2</v>
      </c>
      <c r="P22">
        <v>1</v>
      </c>
      <c r="Q22">
        <v>2</v>
      </c>
      <c r="R22">
        <v>1</v>
      </c>
      <c r="S22">
        <v>1</v>
      </c>
      <c r="T22">
        <v>1</v>
      </c>
      <c r="U22">
        <v>1</v>
      </c>
    </row>
    <row r="23" spans="1:23" ht="31.9" customHeight="1" x14ac:dyDescent="0.25">
      <c r="B23">
        <v>17031601</v>
      </c>
      <c r="C23" t="s">
        <v>83</v>
      </c>
      <c r="D23" t="s">
        <v>88</v>
      </c>
      <c r="F23" t="s">
        <v>23</v>
      </c>
      <c r="G23" t="s">
        <v>24</v>
      </c>
      <c r="H23" s="2">
        <v>0.7</v>
      </c>
      <c r="I23" s="2">
        <v>50</v>
      </c>
      <c r="J23" s="1">
        <f>VLOOKUP(Tabell2[[#This Row],[Artikkelnr.]],[1]Sheet1!$A:$CK,89,0)</f>
        <v>1399.9</v>
      </c>
      <c r="K23" t="s">
        <v>42</v>
      </c>
      <c r="L23" t="s">
        <v>28</v>
      </c>
      <c r="M23">
        <f t="shared" si="0"/>
        <v>119</v>
      </c>
      <c r="N23">
        <v>13</v>
      </c>
      <c r="O23">
        <v>14</v>
      </c>
      <c r="P23">
        <v>14</v>
      </c>
      <c r="Q23">
        <v>14</v>
      </c>
      <c r="R23">
        <v>10</v>
      </c>
      <c r="S23">
        <v>14</v>
      </c>
      <c r="T23">
        <v>14</v>
      </c>
      <c r="U23">
        <v>14</v>
      </c>
      <c r="V23">
        <v>12</v>
      </c>
    </row>
    <row r="24" spans="1:23" ht="31.9" customHeight="1" x14ac:dyDescent="0.25">
      <c r="B24">
        <v>3597401</v>
      </c>
      <c r="C24" t="s">
        <v>29</v>
      </c>
      <c r="D24" t="s">
        <v>30</v>
      </c>
      <c r="E24">
        <v>2023</v>
      </c>
      <c r="F24" t="s">
        <v>23</v>
      </c>
      <c r="G24" t="s">
        <v>24</v>
      </c>
      <c r="H24" s="2">
        <v>0.7</v>
      </c>
      <c r="I24" s="2">
        <v>43</v>
      </c>
      <c r="J24" s="1">
        <f>VLOOKUP(Tabell2[[#This Row],[Artikkelnr.]],[1]Sheet1!$A:$CK,89,0)</f>
        <v>3699.9</v>
      </c>
      <c r="K24" t="s">
        <v>31</v>
      </c>
      <c r="L24" t="s">
        <v>34</v>
      </c>
      <c r="M24">
        <f t="shared" si="0"/>
        <v>19</v>
      </c>
      <c r="N24">
        <v>3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</row>
    <row r="25" spans="1:23" ht="31.9" customHeight="1" x14ac:dyDescent="0.25">
      <c r="A25" t="s">
        <v>156</v>
      </c>
      <c r="B25">
        <v>17032904</v>
      </c>
      <c r="C25" t="s">
        <v>89</v>
      </c>
      <c r="D25" t="s">
        <v>90</v>
      </c>
      <c r="F25" t="s">
        <v>23</v>
      </c>
      <c r="G25" t="s">
        <v>24</v>
      </c>
      <c r="H25" s="2">
        <v>0.2</v>
      </c>
      <c r="I25" s="2">
        <v>56.4</v>
      </c>
      <c r="J25" s="1">
        <f>VLOOKUP(Tabell2[[#This Row],[Artikkelnr.]],[1]Sheet1!$A:$CK,89,0)</f>
        <v>774.3</v>
      </c>
      <c r="K25" t="s">
        <v>150</v>
      </c>
      <c r="L25" t="s">
        <v>26</v>
      </c>
      <c r="M25">
        <f t="shared" si="0"/>
        <v>192</v>
      </c>
      <c r="N25">
        <v>24</v>
      </c>
      <c r="O25">
        <v>20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28</v>
      </c>
    </row>
    <row r="26" spans="1:23" ht="31.9" customHeight="1" x14ac:dyDescent="0.25">
      <c r="A26" t="s">
        <v>156</v>
      </c>
      <c r="B26">
        <v>17033101</v>
      </c>
      <c r="C26" t="s">
        <v>89</v>
      </c>
      <c r="D26" t="s">
        <v>90</v>
      </c>
      <c r="F26" t="s">
        <v>23</v>
      </c>
      <c r="G26" t="s">
        <v>24</v>
      </c>
      <c r="H26" s="2">
        <v>0.7</v>
      </c>
      <c r="I26" s="2">
        <v>56.4</v>
      </c>
      <c r="J26" s="1">
        <f>VLOOKUP(Tabell2[[#This Row],[Artikkelnr.]],[1]Sheet1!$A:$CK,89,0)</f>
        <v>2156.8000000000002</v>
      </c>
      <c r="K26" t="s">
        <v>150</v>
      </c>
      <c r="L26" t="s">
        <v>26</v>
      </c>
      <c r="M26">
        <f t="shared" si="0"/>
        <v>102</v>
      </c>
      <c r="N26">
        <v>12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20</v>
      </c>
      <c r="W26">
        <f>VLOOKUP(Tabell2[[#This Row],[Artikkelnr.]],[2]Ark1!$B:$Y,24,0)</f>
        <v>1</v>
      </c>
    </row>
    <row r="27" spans="1:23" ht="31.9" customHeight="1" x14ac:dyDescent="0.25">
      <c r="A27" t="s">
        <v>156</v>
      </c>
      <c r="B27">
        <v>17033001</v>
      </c>
      <c r="C27" t="s">
        <v>91</v>
      </c>
      <c r="D27" t="s">
        <v>92</v>
      </c>
      <c r="F27" t="s">
        <v>23</v>
      </c>
      <c r="G27" t="s">
        <v>24</v>
      </c>
      <c r="H27" s="2">
        <v>0.7</v>
      </c>
      <c r="I27" s="2">
        <v>58</v>
      </c>
      <c r="J27" s="1">
        <f>VLOOKUP(Tabell2[[#This Row],[Artikkelnr.]],[1]Sheet1!$A:$CK,89,0)</f>
        <v>1880.3</v>
      </c>
      <c r="K27" t="s">
        <v>150</v>
      </c>
      <c r="L27" t="s">
        <v>26</v>
      </c>
      <c r="M27">
        <f t="shared" si="0"/>
        <v>102</v>
      </c>
      <c r="N27">
        <v>12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20</v>
      </c>
    </row>
    <row r="28" spans="1:23" ht="31.9" customHeight="1" x14ac:dyDescent="0.25">
      <c r="A28" t="s">
        <v>156</v>
      </c>
      <c r="B28">
        <v>17032701</v>
      </c>
      <c r="C28" t="s">
        <v>93</v>
      </c>
      <c r="D28" t="s">
        <v>94</v>
      </c>
      <c r="F28" t="s">
        <v>23</v>
      </c>
      <c r="G28" t="s">
        <v>24</v>
      </c>
      <c r="H28" s="2">
        <v>0.7</v>
      </c>
      <c r="I28" s="2">
        <v>55</v>
      </c>
      <c r="J28" s="1">
        <f>VLOOKUP(Tabell2[[#This Row],[Artikkelnr.]],[1]Sheet1!$A:$CK,89,0)</f>
        <v>1567.7</v>
      </c>
      <c r="K28" t="s">
        <v>150</v>
      </c>
      <c r="L28" t="s">
        <v>26</v>
      </c>
      <c r="M28">
        <f t="shared" si="0"/>
        <v>120</v>
      </c>
      <c r="N28">
        <v>15</v>
      </c>
      <c r="O28">
        <v>15</v>
      </c>
      <c r="P28">
        <v>15</v>
      </c>
      <c r="Q28">
        <v>15</v>
      </c>
      <c r="R28">
        <v>15</v>
      </c>
      <c r="S28">
        <v>15</v>
      </c>
      <c r="T28">
        <v>15</v>
      </c>
      <c r="U28">
        <v>15</v>
      </c>
    </row>
    <row r="29" spans="1:23" ht="31.9" customHeight="1" x14ac:dyDescent="0.25">
      <c r="A29" t="s">
        <v>156</v>
      </c>
      <c r="B29">
        <v>17032804</v>
      </c>
      <c r="C29" t="s">
        <v>93</v>
      </c>
      <c r="D29" t="s">
        <v>94</v>
      </c>
      <c r="F29" t="s">
        <v>23</v>
      </c>
      <c r="G29" t="s">
        <v>24</v>
      </c>
      <c r="H29" s="2">
        <v>0.2</v>
      </c>
      <c r="I29" s="2">
        <v>55</v>
      </c>
      <c r="J29" s="1">
        <f>VLOOKUP(Tabell2[[#This Row],[Artikkelnr.]],[1]Sheet1!$A:$CK,89,0)</f>
        <v>574.29999999999995</v>
      </c>
      <c r="K29" t="s">
        <v>150</v>
      </c>
      <c r="L29" t="s">
        <v>26</v>
      </c>
      <c r="M29">
        <f t="shared" si="0"/>
        <v>240</v>
      </c>
      <c r="N29">
        <v>30</v>
      </c>
      <c r="O29">
        <v>30</v>
      </c>
      <c r="P29">
        <v>30</v>
      </c>
      <c r="Q29">
        <v>30</v>
      </c>
      <c r="R29">
        <v>30</v>
      </c>
      <c r="S29">
        <v>30</v>
      </c>
      <c r="T29">
        <v>30</v>
      </c>
      <c r="U29">
        <v>30</v>
      </c>
    </row>
    <row r="30" spans="1:23" ht="31.9" customHeight="1" x14ac:dyDescent="0.25">
      <c r="A30" t="s">
        <v>156</v>
      </c>
      <c r="B30">
        <v>17032601</v>
      </c>
      <c r="C30" t="s">
        <v>95</v>
      </c>
      <c r="D30" t="s">
        <v>96</v>
      </c>
      <c r="F30" t="s">
        <v>23</v>
      </c>
      <c r="G30" t="s">
        <v>24</v>
      </c>
      <c r="H30" s="2">
        <v>0.7</v>
      </c>
      <c r="I30" s="2">
        <v>59.7</v>
      </c>
      <c r="J30" s="1">
        <f>VLOOKUP(Tabell2[[#This Row],[Artikkelnr.]],[1]Sheet1!$A:$CK,89,0)</f>
        <v>1680.3</v>
      </c>
      <c r="K30" t="s">
        <v>150</v>
      </c>
      <c r="L30" t="s">
        <v>26</v>
      </c>
      <c r="M30">
        <f t="shared" si="0"/>
        <v>102</v>
      </c>
      <c r="N30">
        <v>12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20</v>
      </c>
    </row>
    <row r="31" spans="1:23" ht="31.9" customHeight="1" x14ac:dyDescent="0.25">
      <c r="A31" t="s">
        <v>156</v>
      </c>
      <c r="B31">
        <v>17032504</v>
      </c>
      <c r="C31" t="s">
        <v>95</v>
      </c>
      <c r="D31" t="s">
        <v>96</v>
      </c>
      <c r="F31" t="s">
        <v>23</v>
      </c>
      <c r="G31" t="s">
        <v>24</v>
      </c>
      <c r="H31" s="2">
        <v>0.2</v>
      </c>
      <c r="I31" s="2">
        <v>59.7</v>
      </c>
      <c r="J31" s="1">
        <f>VLOOKUP(Tabell2[[#This Row],[Artikkelnr.]],[1]Sheet1!$A:$CK,89,0)</f>
        <v>514.29999999999995</v>
      </c>
      <c r="K31" t="s">
        <v>150</v>
      </c>
      <c r="L31" t="s">
        <v>26</v>
      </c>
      <c r="M31">
        <f t="shared" si="0"/>
        <v>192</v>
      </c>
      <c r="N31">
        <v>24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28</v>
      </c>
    </row>
    <row r="32" spans="1:23" ht="31.9" customHeight="1" x14ac:dyDescent="0.25">
      <c r="A32" t="s">
        <v>156</v>
      </c>
      <c r="B32">
        <v>17033201</v>
      </c>
      <c r="C32" t="s">
        <v>97</v>
      </c>
      <c r="D32" t="s">
        <v>98</v>
      </c>
      <c r="F32" t="s">
        <v>23</v>
      </c>
      <c r="G32" t="s">
        <v>24</v>
      </c>
      <c r="H32" s="2">
        <v>0.7</v>
      </c>
      <c r="I32" s="2">
        <v>57.5</v>
      </c>
      <c r="J32" s="1">
        <f>VLOOKUP(Tabell2[[#This Row],[Artikkelnr.]],[1]Sheet1!$A:$CK,89,0)</f>
        <v>2065.6</v>
      </c>
      <c r="K32" t="s">
        <v>150</v>
      </c>
      <c r="L32" t="s">
        <v>26</v>
      </c>
      <c r="M32">
        <f t="shared" si="0"/>
        <v>132</v>
      </c>
      <c r="N32">
        <v>14</v>
      </c>
      <c r="O32">
        <v>14</v>
      </c>
      <c r="P32">
        <v>14</v>
      </c>
      <c r="Q32">
        <v>14</v>
      </c>
      <c r="R32">
        <v>14</v>
      </c>
      <c r="S32">
        <v>14</v>
      </c>
      <c r="T32">
        <v>14</v>
      </c>
      <c r="U32">
        <v>14</v>
      </c>
      <c r="V32">
        <v>20</v>
      </c>
      <c r="W32">
        <f>VLOOKUP(Tabell2[[#This Row],[Artikkelnr.]],[2]Ark1!$B:$Y,24,0)</f>
        <v>1</v>
      </c>
    </row>
    <row r="33" spans="1:23" ht="31.9" customHeight="1" x14ac:dyDescent="0.25">
      <c r="A33" t="s">
        <v>156</v>
      </c>
      <c r="B33">
        <v>17033301</v>
      </c>
      <c r="C33" t="s">
        <v>99</v>
      </c>
      <c r="D33" t="s">
        <v>100</v>
      </c>
      <c r="F33" t="s">
        <v>23</v>
      </c>
      <c r="G33" t="s">
        <v>24</v>
      </c>
      <c r="H33" s="2">
        <v>0.7</v>
      </c>
      <c r="I33" s="2">
        <v>58.3</v>
      </c>
      <c r="J33" s="1">
        <f>VLOOKUP(Tabell2[[#This Row],[Artikkelnr.]],[1]Sheet1!$A:$CK,89,0)</f>
        <v>4024.9</v>
      </c>
      <c r="K33" t="s">
        <v>150</v>
      </c>
      <c r="L33" t="s">
        <v>26</v>
      </c>
      <c r="M33">
        <f t="shared" si="0"/>
        <v>30</v>
      </c>
      <c r="N33">
        <v>4</v>
      </c>
      <c r="O33">
        <v>4</v>
      </c>
      <c r="P33">
        <v>4</v>
      </c>
      <c r="Q33">
        <v>4</v>
      </c>
      <c r="R33">
        <v>3</v>
      </c>
      <c r="S33">
        <v>4</v>
      </c>
      <c r="T33">
        <v>4</v>
      </c>
      <c r="U33">
        <v>3</v>
      </c>
    </row>
    <row r="34" spans="1:23" ht="31.9" customHeight="1" x14ac:dyDescent="0.25">
      <c r="A34" t="s">
        <v>156</v>
      </c>
      <c r="B34">
        <v>17035304</v>
      </c>
      <c r="C34" t="s">
        <v>101</v>
      </c>
      <c r="D34" t="s">
        <v>102</v>
      </c>
      <c r="F34" t="s">
        <v>23</v>
      </c>
      <c r="G34" t="s">
        <v>24</v>
      </c>
      <c r="H34" s="2">
        <v>0.2</v>
      </c>
      <c r="I34" s="2">
        <v>56.5</v>
      </c>
      <c r="J34" s="1">
        <f>VLOOKUP(Tabell2[[#This Row],[Artikkelnr.]],[1]Sheet1!$A:$CK,89,0)</f>
        <v>597.4</v>
      </c>
      <c r="K34" t="s">
        <v>150</v>
      </c>
      <c r="L34" t="s">
        <v>26</v>
      </c>
      <c r="M34">
        <f t="shared" si="0"/>
        <v>240</v>
      </c>
      <c r="N34">
        <v>30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30</v>
      </c>
      <c r="U34">
        <v>30</v>
      </c>
    </row>
    <row r="35" spans="1:23" ht="31.9" customHeight="1" x14ac:dyDescent="0.25">
      <c r="A35" t="s">
        <v>156</v>
      </c>
      <c r="B35">
        <v>17035401</v>
      </c>
      <c r="C35" t="s">
        <v>101</v>
      </c>
      <c r="D35" t="s">
        <v>102</v>
      </c>
      <c r="F35" t="s">
        <v>23</v>
      </c>
      <c r="G35" t="s">
        <v>24</v>
      </c>
      <c r="H35" s="2">
        <v>0.7</v>
      </c>
      <c r="I35" s="2">
        <v>56.5</v>
      </c>
      <c r="J35" s="1">
        <f>VLOOKUP(Tabell2[[#This Row],[Artikkelnr.]],[1]Sheet1!$A:$CK,89,0)</f>
        <v>1699.9</v>
      </c>
      <c r="K35" t="s">
        <v>150</v>
      </c>
      <c r="L35" t="s">
        <v>26</v>
      </c>
      <c r="M35">
        <f t="shared" si="0"/>
        <v>90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</row>
    <row r="36" spans="1:23" ht="31.9" customHeight="1" x14ac:dyDescent="0.25">
      <c r="B36">
        <v>17031501</v>
      </c>
      <c r="C36" t="s">
        <v>103</v>
      </c>
      <c r="D36" t="s">
        <v>104</v>
      </c>
      <c r="F36" t="s">
        <v>27</v>
      </c>
      <c r="G36" t="s">
        <v>105</v>
      </c>
      <c r="H36" s="2">
        <v>0.7</v>
      </c>
      <c r="I36" s="2">
        <v>45.3</v>
      </c>
      <c r="J36" s="1">
        <f>VLOOKUP(Tabell2[[#This Row],[Artikkelnr.]],[1]Sheet1!$A:$CK,89,0)</f>
        <v>1299.9000000000001</v>
      </c>
      <c r="K36" t="s">
        <v>151</v>
      </c>
      <c r="L36" t="s">
        <v>34</v>
      </c>
      <c r="M36">
        <f t="shared" si="0"/>
        <v>96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</row>
    <row r="37" spans="1:23" ht="31.9" customHeight="1" x14ac:dyDescent="0.25">
      <c r="B37">
        <v>17034501</v>
      </c>
      <c r="C37" t="s">
        <v>106</v>
      </c>
      <c r="D37" t="s">
        <v>107</v>
      </c>
      <c r="E37">
        <v>2016</v>
      </c>
      <c r="F37" t="s">
        <v>23</v>
      </c>
      <c r="G37" t="s">
        <v>24</v>
      </c>
      <c r="H37" s="2">
        <v>0.7</v>
      </c>
      <c r="I37" s="2">
        <v>58.5</v>
      </c>
      <c r="J37" s="1">
        <f>VLOOKUP(Tabell2[[#This Row],[Artikkelnr.]],[1]Sheet1!$A:$CK,89,0)</f>
        <v>2167.9</v>
      </c>
      <c r="K37" t="s">
        <v>144</v>
      </c>
      <c r="L37" t="s">
        <v>34</v>
      </c>
      <c r="M37">
        <f t="shared" si="0"/>
        <v>6</v>
      </c>
      <c r="N37">
        <v>1</v>
      </c>
      <c r="O37">
        <v>1</v>
      </c>
      <c r="P37">
        <v>1</v>
      </c>
      <c r="Q37">
        <v>1</v>
      </c>
      <c r="S37">
        <v>1</v>
      </c>
      <c r="T37">
        <v>1</v>
      </c>
      <c r="W37">
        <f>VLOOKUP(Tabell2[[#This Row],[Artikkelnr.]],[2]Ark1!$B:$Y,24,0)</f>
        <v>1</v>
      </c>
    </row>
    <row r="38" spans="1:23" ht="31.9" customHeight="1" x14ac:dyDescent="0.25">
      <c r="B38">
        <v>17033701</v>
      </c>
      <c r="C38" t="s">
        <v>106</v>
      </c>
      <c r="D38" t="s">
        <v>108</v>
      </c>
      <c r="E38">
        <v>2012</v>
      </c>
      <c r="F38" t="s">
        <v>23</v>
      </c>
      <c r="G38" t="s">
        <v>24</v>
      </c>
      <c r="H38" s="2">
        <v>0.7</v>
      </c>
      <c r="I38" s="2">
        <v>58.6</v>
      </c>
      <c r="J38" s="1">
        <f>VLOOKUP(Tabell2[[#This Row],[Artikkelnr.]],[1]Sheet1!$A:$CK,89,0)</f>
        <v>1412.1</v>
      </c>
      <c r="K38" t="s">
        <v>144</v>
      </c>
      <c r="L38" t="s">
        <v>34</v>
      </c>
      <c r="M38">
        <f t="shared" si="0"/>
        <v>6</v>
      </c>
      <c r="N38">
        <v>1</v>
      </c>
      <c r="O38">
        <v>1</v>
      </c>
      <c r="P38">
        <v>1</v>
      </c>
      <c r="Q38">
        <v>1</v>
      </c>
      <c r="T38">
        <v>1</v>
      </c>
      <c r="U38">
        <v>1</v>
      </c>
      <c r="W38">
        <f>VLOOKUP(Tabell2[[#This Row],[Artikkelnr.]],[2]Ark1!$B:$Y,24,0)</f>
        <v>1</v>
      </c>
    </row>
    <row r="39" spans="1:23" ht="31.9" customHeight="1" x14ac:dyDescent="0.25">
      <c r="B39">
        <v>17033801</v>
      </c>
      <c r="C39" t="s">
        <v>106</v>
      </c>
      <c r="D39" t="s">
        <v>109</v>
      </c>
      <c r="E39">
        <v>2011</v>
      </c>
      <c r="F39" t="s">
        <v>23</v>
      </c>
      <c r="G39" t="s">
        <v>24</v>
      </c>
      <c r="H39" s="2">
        <v>0.7</v>
      </c>
      <c r="I39" s="2">
        <v>52</v>
      </c>
      <c r="J39" s="1">
        <f>VLOOKUP(Tabell2[[#This Row],[Artikkelnr.]],[1]Sheet1!$A:$CK,89,0)</f>
        <v>1413.3</v>
      </c>
      <c r="K39" t="s">
        <v>144</v>
      </c>
      <c r="L39" t="s">
        <v>34</v>
      </c>
      <c r="M39">
        <f t="shared" si="0"/>
        <v>6</v>
      </c>
      <c r="N39">
        <v>1</v>
      </c>
      <c r="P39">
        <v>1</v>
      </c>
      <c r="Q39">
        <v>1</v>
      </c>
      <c r="R39">
        <v>1</v>
      </c>
      <c r="S39">
        <v>1</v>
      </c>
      <c r="U39">
        <v>1</v>
      </c>
      <c r="W39">
        <f>VLOOKUP(Tabell2[[#This Row],[Artikkelnr.]],[2]Ark1!$B:$Y,24,0)</f>
        <v>1</v>
      </c>
    </row>
    <row r="40" spans="1:23" ht="31.9" customHeight="1" x14ac:dyDescent="0.25">
      <c r="B40">
        <v>17034001</v>
      </c>
      <c r="C40" t="s">
        <v>106</v>
      </c>
      <c r="D40" t="s">
        <v>110</v>
      </c>
      <c r="E40">
        <v>2014</v>
      </c>
      <c r="F40" t="s">
        <v>23</v>
      </c>
      <c r="G40" t="s">
        <v>24</v>
      </c>
      <c r="H40" s="2">
        <v>0.7</v>
      </c>
      <c r="I40" s="2">
        <v>57.4</v>
      </c>
      <c r="J40" s="1">
        <f>VLOOKUP(Tabell2[[#This Row],[Artikkelnr.]],[1]Sheet1!$A:$CK,89,0)</f>
        <v>1503.9</v>
      </c>
      <c r="K40" t="s">
        <v>144</v>
      </c>
      <c r="L40" t="s">
        <v>34</v>
      </c>
      <c r="M40">
        <f t="shared" si="0"/>
        <v>11</v>
      </c>
      <c r="N40">
        <v>2</v>
      </c>
      <c r="O40">
        <v>2</v>
      </c>
      <c r="P40">
        <v>1</v>
      </c>
      <c r="Q40">
        <v>1</v>
      </c>
      <c r="R40">
        <v>1</v>
      </c>
      <c r="S40">
        <v>2</v>
      </c>
      <c r="T40">
        <v>1</v>
      </c>
      <c r="U40">
        <v>1</v>
      </c>
      <c r="V40">
        <v>0</v>
      </c>
      <c r="W40">
        <f>VLOOKUP(Tabell2[[#This Row],[Artikkelnr.]],[2]Ark1!$B:$Y,24,0)</f>
        <v>1</v>
      </c>
    </row>
    <row r="41" spans="1:23" ht="31.9" customHeight="1" x14ac:dyDescent="0.25">
      <c r="B41">
        <v>17034301</v>
      </c>
      <c r="C41" t="s">
        <v>106</v>
      </c>
      <c r="D41" t="s">
        <v>111</v>
      </c>
      <c r="E41">
        <v>2011</v>
      </c>
      <c r="F41" t="s">
        <v>23</v>
      </c>
      <c r="G41" t="s">
        <v>24</v>
      </c>
      <c r="H41" s="2">
        <v>0.7</v>
      </c>
      <c r="I41" s="2">
        <v>58.3</v>
      </c>
      <c r="J41" s="1">
        <f>VLOOKUP(Tabell2[[#This Row],[Artikkelnr.]],[1]Sheet1!$A:$CK,89,0)</f>
        <v>1591.2</v>
      </c>
      <c r="K41" t="s">
        <v>144</v>
      </c>
      <c r="L41" t="s">
        <v>34</v>
      </c>
      <c r="M41">
        <f t="shared" si="0"/>
        <v>6</v>
      </c>
      <c r="N41">
        <v>1</v>
      </c>
      <c r="O41">
        <v>1</v>
      </c>
      <c r="R41">
        <v>1</v>
      </c>
      <c r="S41">
        <v>1</v>
      </c>
      <c r="T41">
        <v>1</v>
      </c>
      <c r="U41">
        <v>1</v>
      </c>
      <c r="W41">
        <f>VLOOKUP(Tabell2[[#This Row],[Artikkelnr.]],[2]Ark1!$B:$Y,24,0)</f>
        <v>1</v>
      </c>
    </row>
    <row r="42" spans="1:23" ht="31.9" customHeight="1" x14ac:dyDescent="0.25">
      <c r="B42">
        <v>17034201</v>
      </c>
      <c r="C42" t="s">
        <v>106</v>
      </c>
      <c r="D42" t="s">
        <v>112</v>
      </c>
      <c r="E42">
        <v>2018</v>
      </c>
      <c r="F42" t="s">
        <v>23</v>
      </c>
      <c r="G42" t="s">
        <v>24</v>
      </c>
      <c r="H42" s="2">
        <v>0.7</v>
      </c>
      <c r="I42" s="2">
        <v>57.8</v>
      </c>
      <c r="J42" s="1">
        <f>VLOOKUP(Tabell2[[#This Row],[Artikkelnr.]],[1]Sheet1!$A:$CK,89,0)</f>
        <v>1613.3</v>
      </c>
      <c r="K42" t="s">
        <v>144</v>
      </c>
      <c r="L42" t="s">
        <v>34</v>
      </c>
      <c r="M42">
        <f t="shared" si="0"/>
        <v>8</v>
      </c>
      <c r="N42">
        <v>0</v>
      </c>
      <c r="O42">
        <v>1</v>
      </c>
      <c r="P42">
        <v>1</v>
      </c>
      <c r="Q42">
        <v>2</v>
      </c>
      <c r="R42">
        <v>1</v>
      </c>
      <c r="S42">
        <v>1</v>
      </c>
      <c r="T42">
        <v>0</v>
      </c>
      <c r="U42">
        <v>1</v>
      </c>
      <c r="V42">
        <v>1</v>
      </c>
    </row>
    <row r="43" spans="1:23" ht="30" customHeight="1" x14ac:dyDescent="0.25">
      <c r="B43">
        <v>17034401</v>
      </c>
      <c r="C43" t="s">
        <v>106</v>
      </c>
      <c r="D43" t="s">
        <v>113</v>
      </c>
      <c r="E43">
        <v>1987</v>
      </c>
      <c r="F43" t="s">
        <v>23</v>
      </c>
      <c r="G43" t="s">
        <v>114</v>
      </c>
      <c r="H43" s="2">
        <v>0.7</v>
      </c>
      <c r="I43" s="2">
        <v>47.5</v>
      </c>
      <c r="J43" s="1">
        <f>VLOOKUP(Tabell2[[#This Row],[Artikkelnr.]],[1]Sheet1!$A:$CK,89,0)</f>
        <v>2757.7</v>
      </c>
      <c r="K43" t="s">
        <v>144</v>
      </c>
      <c r="L43" t="s">
        <v>34</v>
      </c>
      <c r="M43">
        <f t="shared" si="0"/>
        <v>6</v>
      </c>
      <c r="N43">
        <v>1</v>
      </c>
      <c r="O43">
        <v>1</v>
      </c>
      <c r="P43">
        <v>1</v>
      </c>
      <c r="Q43">
        <v>1</v>
      </c>
      <c r="S43">
        <v>1</v>
      </c>
      <c r="U43">
        <v>1</v>
      </c>
      <c r="W43">
        <f>VLOOKUP(Tabell2[[#This Row],[Artikkelnr.]],[2]Ark1!$B:$Y,24,0)</f>
        <v>1</v>
      </c>
    </row>
    <row r="44" spans="1:23" ht="30" customHeight="1" x14ac:dyDescent="0.25">
      <c r="B44">
        <v>17034601</v>
      </c>
      <c r="C44" t="s">
        <v>106</v>
      </c>
      <c r="D44" t="s">
        <v>115</v>
      </c>
      <c r="E44">
        <v>1996</v>
      </c>
      <c r="F44" t="s">
        <v>23</v>
      </c>
      <c r="G44" t="s">
        <v>24</v>
      </c>
      <c r="H44" s="2">
        <v>0.7</v>
      </c>
      <c r="I44" s="2">
        <v>52.4</v>
      </c>
      <c r="J44" s="1">
        <f>VLOOKUP(Tabell2[[#This Row],[Artikkelnr.]],[1]Sheet1!$A:$CK,89,0)</f>
        <v>6525.7</v>
      </c>
      <c r="K44" t="s">
        <v>144</v>
      </c>
      <c r="L44" t="s">
        <v>34</v>
      </c>
      <c r="M44">
        <f t="shared" si="0"/>
        <v>5</v>
      </c>
      <c r="N44">
        <v>0</v>
      </c>
      <c r="O44">
        <v>1</v>
      </c>
      <c r="Q44">
        <v>1</v>
      </c>
      <c r="S44">
        <v>1</v>
      </c>
      <c r="T44">
        <v>1</v>
      </c>
      <c r="U44">
        <v>1</v>
      </c>
      <c r="W44">
        <f>VLOOKUP(Tabell2[[#This Row],[Artikkelnr.]],[2]Ark1!$B:$Y,24,0)</f>
        <v>1</v>
      </c>
    </row>
    <row r="45" spans="1:23" ht="30" customHeight="1" x14ac:dyDescent="0.25">
      <c r="B45">
        <v>17034101</v>
      </c>
      <c r="C45" t="s">
        <v>106</v>
      </c>
      <c r="D45" t="s">
        <v>116</v>
      </c>
      <c r="E45">
        <v>1997</v>
      </c>
      <c r="F45" t="s">
        <v>23</v>
      </c>
      <c r="G45" t="s">
        <v>117</v>
      </c>
      <c r="H45" s="2">
        <v>0.7</v>
      </c>
      <c r="I45" s="2">
        <v>56.8</v>
      </c>
      <c r="J45" s="1">
        <f>VLOOKUP(Tabell2[[#This Row],[Artikkelnr.]],[1]Sheet1!$A:$CK,89,0)</f>
        <v>5913</v>
      </c>
      <c r="K45" t="s">
        <v>144</v>
      </c>
      <c r="L45" t="s">
        <v>34</v>
      </c>
      <c r="M45">
        <f t="shared" si="0"/>
        <v>5</v>
      </c>
      <c r="N45">
        <v>0</v>
      </c>
      <c r="O45">
        <v>1</v>
      </c>
      <c r="P45">
        <v>1</v>
      </c>
      <c r="Q45">
        <v>1</v>
      </c>
      <c r="S45">
        <v>1</v>
      </c>
      <c r="U45">
        <v>1</v>
      </c>
      <c r="W45">
        <f>VLOOKUP(Tabell2[[#This Row],[Artikkelnr.]],[2]Ark1!$B:$Y,24,0)</f>
        <v>1</v>
      </c>
    </row>
    <row r="46" spans="1:23" ht="30" customHeight="1" x14ac:dyDescent="0.25">
      <c r="B46">
        <v>17033901</v>
      </c>
      <c r="C46" t="s">
        <v>118</v>
      </c>
      <c r="D46" t="s">
        <v>119</v>
      </c>
      <c r="F46" t="s">
        <v>23</v>
      </c>
      <c r="G46" t="s">
        <v>114</v>
      </c>
      <c r="H46" s="2">
        <v>0.7</v>
      </c>
      <c r="I46" s="2">
        <v>45.8</v>
      </c>
      <c r="J46" s="1">
        <f>VLOOKUP(Tabell2[[#This Row],[Artikkelnr.]],[1]Sheet1!$A:$CK,89,0)</f>
        <v>1118.3</v>
      </c>
      <c r="K46" t="s">
        <v>144</v>
      </c>
      <c r="L46" t="s">
        <v>34</v>
      </c>
      <c r="M46">
        <f t="shared" si="0"/>
        <v>99</v>
      </c>
      <c r="N46">
        <v>13</v>
      </c>
      <c r="O46">
        <v>12</v>
      </c>
      <c r="P46">
        <v>12</v>
      </c>
      <c r="Q46">
        <v>14</v>
      </c>
      <c r="R46">
        <v>12</v>
      </c>
      <c r="S46">
        <v>12</v>
      </c>
      <c r="T46">
        <v>12</v>
      </c>
      <c r="U46">
        <v>12</v>
      </c>
    </row>
    <row r="47" spans="1:23" ht="30" customHeight="1" x14ac:dyDescent="0.25">
      <c r="B47">
        <v>17040802</v>
      </c>
      <c r="C47" t="s">
        <v>120</v>
      </c>
      <c r="D47" t="s">
        <v>121</v>
      </c>
      <c r="F47" t="s">
        <v>23</v>
      </c>
      <c r="G47" t="s">
        <v>122</v>
      </c>
      <c r="H47" s="2">
        <v>0.5</v>
      </c>
      <c r="I47" s="2">
        <v>46</v>
      </c>
      <c r="J47" s="1">
        <f>VLOOKUP(Tabell2[[#This Row],[Artikkelnr.]],[1]Sheet1!$A:$CK,89,0)</f>
        <v>744.7</v>
      </c>
      <c r="K47" t="s">
        <v>144</v>
      </c>
      <c r="L47" t="s">
        <v>34</v>
      </c>
      <c r="M47">
        <f t="shared" si="0"/>
        <v>120</v>
      </c>
      <c r="N47">
        <v>16</v>
      </c>
      <c r="O47">
        <v>15</v>
      </c>
      <c r="P47">
        <v>15</v>
      </c>
      <c r="Q47">
        <v>15</v>
      </c>
      <c r="R47">
        <v>14</v>
      </c>
      <c r="S47">
        <v>15</v>
      </c>
      <c r="T47">
        <v>15</v>
      </c>
      <c r="U47">
        <v>15</v>
      </c>
    </row>
    <row r="48" spans="1:23" ht="30" customHeight="1" x14ac:dyDescent="0.25">
      <c r="B48">
        <v>17033601</v>
      </c>
      <c r="C48" t="s">
        <v>110</v>
      </c>
      <c r="D48" t="s">
        <v>123</v>
      </c>
      <c r="F48" t="s">
        <v>23</v>
      </c>
      <c r="G48" t="s">
        <v>24</v>
      </c>
      <c r="H48" s="2">
        <v>0.7</v>
      </c>
      <c r="I48" s="2">
        <v>55</v>
      </c>
      <c r="J48" s="1">
        <f>VLOOKUP(Tabell2[[#This Row],[Artikkelnr.]],[1]Sheet1!$A:$CK,89,0)</f>
        <v>999.9</v>
      </c>
      <c r="K48" t="s">
        <v>144</v>
      </c>
      <c r="L48" t="s">
        <v>155</v>
      </c>
      <c r="M48">
        <f t="shared" si="0"/>
        <v>119</v>
      </c>
      <c r="N48">
        <v>13</v>
      </c>
      <c r="O48">
        <v>13</v>
      </c>
      <c r="P48">
        <v>13</v>
      </c>
      <c r="Q48">
        <v>13</v>
      </c>
      <c r="R48">
        <v>12</v>
      </c>
      <c r="S48">
        <v>13</v>
      </c>
      <c r="T48">
        <v>13</v>
      </c>
      <c r="U48">
        <v>13</v>
      </c>
      <c r="V48">
        <v>16</v>
      </c>
    </row>
    <row r="49" spans="2:23" ht="30" customHeight="1" x14ac:dyDescent="0.25">
      <c r="B49">
        <v>17037801</v>
      </c>
      <c r="C49" t="s">
        <v>124</v>
      </c>
      <c r="D49" t="s">
        <v>125</v>
      </c>
      <c r="E49">
        <v>2004</v>
      </c>
      <c r="F49" t="s">
        <v>23</v>
      </c>
      <c r="G49" t="s">
        <v>24</v>
      </c>
      <c r="H49" s="2">
        <v>0.7</v>
      </c>
      <c r="I49" s="2">
        <v>54.2</v>
      </c>
      <c r="J49" s="1">
        <f>VLOOKUP(Tabell2[[#This Row],[Artikkelnr.]],[1]Sheet1!$A:$CK,89,0)</f>
        <v>2890</v>
      </c>
      <c r="K49" t="s">
        <v>36</v>
      </c>
      <c r="L49" t="s">
        <v>28</v>
      </c>
      <c r="M49">
        <f t="shared" si="0"/>
        <v>17</v>
      </c>
      <c r="N49">
        <v>3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W49">
        <f>VLOOKUP(Tabell2[[#This Row],[Artikkelnr.]],[2]Ark1!$B:$Y,24,0)</f>
        <v>1</v>
      </c>
    </row>
    <row r="50" spans="2:23" ht="30" customHeight="1" x14ac:dyDescent="0.25">
      <c r="B50">
        <v>17037901</v>
      </c>
      <c r="C50" t="s">
        <v>126</v>
      </c>
      <c r="D50" t="s">
        <v>127</v>
      </c>
      <c r="F50" t="s">
        <v>23</v>
      </c>
      <c r="G50" t="s">
        <v>24</v>
      </c>
      <c r="H50" s="2">
        <v>0.7</v>
      </c>
      <c r="I50" s="2">
        <v>46</v>
      </c>
      <c r="J50" s="1">
        <f>VLOOKUP(Tabell2[[#This Row],[Artikkelnr.]],[1]Sheet1!$A:$CK,89,0)</f>
        <v>1330</v>
      </c>
      <c r="K50" t="s">
        <v>36</v>
      </c>
      <c r="L50" t="s">
        <v>28</v>
      </c>
      <c r="M50">
        <f t="shared" si="0"/>
        <v>59</v>
      </c>
      <c r="N50">
        <v>7</v>
      </c>
      <c r="O50">
        <v>8</v>
      </c>
      <c r="P50">
        <v>8</v>
      </c>
      <c r="Q50">
        <v>8</v>
      </c>
      <c r="R50">
        <v>6</v>
      </c>
      <c r="S50">
        <v>8</v>
      </c>
      <c r="T50">
        <v>8</v>
      </c>
      <c r="U50">
        <v>6</v>
      </c>
      <c r="W50">
        <f>VLOOKUP(Tabell2[[#This Row],[Artikkelnr.]],[2]Ark1!$B:$Y,24,0)</f>
        <v>1</v>
      </c>
    </row>
    <row r="51" spans="2:23" ht="30" customHeight="1" x14ac:dyDescent="0.25">
      <c r="B51">
        <v>16755301</v>
      </c>
      <c r="C51" t="s">
        <v>128</v>
      </c>
      <c r="D51" t="s">
        <v>129</v>
      </c>
      <c r="F51" t="s">
        <v>23</v>
      </c>
      <c r="G51" t="s">
        <v>24</v>
      </c>
      <c r="H51" s="2">
        <v>0.7</v>
      </c>
      <c r="I51" s="2">
        <v>46</v>
      </c>
      <c r="J51" s="1">
        <f>VLOOKUP(Tabell2[[#This Row],[Artikkelnr.]],[1]Sheet1!$A:$CK,89,0)</f>
        <v>959</v>
      </c>
      <c r="K51" t="s">
        <v>36</v>
      </c>
      <c r="L51" t="s">
        <v>28</v>
      </c>
      <c r="M51">
        <f t="shared" si="0"/>
        <v>116</v>
      </c>
      <c r="N51">
        <v>13</v>
      </c>
      <c r="O51">
        <v>13</v>
      </c>
      <c r="P51">
        <v>13</v>
      </c>
      <c r="Q51">
        <v>13</v>
      </c>
      <c r="R51">
        <v>12</v>
      </c>
      <c r="S51">
        <v>13</v>
      </c>
      <c r="T51">
        <v>13</v>
      </c>
      <c r="U51">
        <v>13</v>
      </c>
      <c r="V51">
        <v>13</v>
      </c>
      <c r="W51">
        <f>VLOOKUP(Tabell2[[#This Row],[Artikkelnr.]],[2]Ark1!$B:$Y,24,0)</f>
        <v>1</v>
      </c>
    </row>
    <row r="52" spans="2:23" ht="30" customHeight="1" x14ac:dyDescent="0.25">
      <c r="B52">
        <v>14953702</v>
      </c>
      <c r="C52" t="s">
        <v>130</v>
      </c>
      <c r="D52" t="s">
        <v>131</v>
      </c>
      <c r="F52" t="s">
        <v>35</v>
      </c>
      <c r="G52" t="s">
        <v>132</v>
      </c>
      <c r="H52" s="2">
        <v>0.5</v>
      </c>
      <c r="I52" s="2">
        <v>43</v>
      </c>
      <c r="J52" s="1">
        <f>VLOOKUP(Tabell2[[#This Row],[Artikkelnr.]],[1]Sheet1!$A:$CK,89,0)</f>
        <v>699</v>
      </c>
      <c r="K52" t="s">
        <v>36</v>
      </c>
      <c r="L52" t="s">
        <v>28</v>
      </c>
      <c r="M52">
        <f t="shared" si="0"/>
        <v>59</v>
      </c>
      <c r="N52">
        <v>7</v>
      </c>
      <c r="O52">
        <v>8</v>
      </c>
      <c r="P52">
        <v>7</v>
      </c>
      <c r="Q52">
        <v>8</v>
      </c>
      <c r="R52">
        <v>6</v>
      </c>
      <c r="S52">
        <v>8</v>
      </c>
      <c r="T52">
        <v>7</v>
      </c>
      <c r="U52">
        <v>8</v>
      </c>
    </row>
    <row r="53" spans="2:23" ht="30" customHeight="1" x14ac:dyDescent="0.25">
      <c r="B53">
        <v>17021501</v>
      </c>
      <c r="C53" t="s">
        <v>133</v>
      </c>
      <c r="D53" t="s">
        <v>134</v>
      </c>
      <c r="F53" t="s">
        <v>23</v>
      </c>
      <c r="G53" t="s">
        <v>24</v>
      </c>
      <c r="H53" s="2">
        <v>0.7</v>
      </c>
      <c r="I53" s="2">
        <v>46</v>
      </c>
      <c r="J53" s="1">
        <f>VLOOKUP(Tabell2[[#This Row],[Artikkelnr.]],[1]Sheet1!$A:$CK,89,0)</f>
        <v>849.9</v>
      </c>
      <c r="K53" t="s">
        <v>152</v>
      </c>
      <c r="L53" t="s">
        <v>28</v>
      </c>
      <c r="M53">
        <f t="shared" si="0"/>
        <v>137</v>
      </c>
      <c r="N53">
        <v>15</v>
      </c>
      <c r="O53">
        <v>15</v>
      </c>
      <c r="P53">
        <v>15</v>
      </c>
      <c r="Q53">
        <v>15</v>
      </c>
      <c r="R53">
        <v>15</v>
      </c>
      <c r="S53">
        <v>15</v>
      </c>
      <c r="T53">
        <v>16</v>
      </c>
      <c r="U53">
        <v>15</v>
      </c>
      <c r="V53">
        <v>16</v>
      </c>
    </row>
    <row r="54" spans="2:23" ht="30" customHeight="1" x14ac:dyDescent="0.25">
      <c r="B54">
        <v>17033401</v>
      </c>
      <c r="C54" t="s">
        <v>135</v>
      </c>
      <c r="D54" t="s">
        <v>136</v>
      </c>
      <c r="F54" t="s">
        <v>23</v>
      </c>
      <c r="G54" t="s">
        <v>114</v>
      </c>
      <c r="H54" s="2">
        <v>0.7</v>
      </c>
      <c r="I54" s="2">
        <v>46.7</v>
      </c>
      <c r="J54" s="1">
        <f>VLOOKUP(Tabell2[[#This Row],[Artikkelnr.]],[1]Sheet1!$A:$CK,89,0)</f>
        <v>1599.7</v>
      </c>
      <c r="K54" t="s">
        <v>25</v>
      </c>
      <c r="L54" t="s">
        <v>26</v>
      </c>
      <c r="M54">
        <f t="shared" si="0"/>
        <v>48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</row>
    <row r="55" spans="2:23" ht="30" customHeight="1" x14ac:dyDescent="0.25">
      <c r="B55">
        <v>17033501</v>
      </c>
      <c r="C55" t="s">
        <v>135</v>
      </c>
      <c r="D55" t="s">
        <v>137</v>
      </c>
      <c r="F55" t="s">
        <v>23</v>
      </c>
      <c r="G55" t="s">
        <v>24</v>
      </c>
      <c r="H55" s="2">
        <v>0.7</v>
      </c>
      <c r="I55" s="2">
        <v>48</v>
      </c>
      <c r="J55" s="1">
        <f>VLOOKUP(Tabell2[[#This Row],[Artikkelnr.]],[1]Sheet1!$A:$CK,89,0)</f>
        <v>1599.6</v>
      </c>
      <c r="K55" t="s">
        <v>25</v>
      </c>
      <c r="L55" t="s">
        <v>26</v>
      </c>
      <c r="M55">
        <f t="shared" si="0"/>
        <v>99</v>
      </c>
      <c r="N55">
        <v>13</v>
      </c>
      <c r="O55">
        <v>12</v>
      </c>
      <c r="P55">
        <v>12</v>
      </c>
      <c r="Q55">
        <v>14</v>
      </c>
      <c r="R55">
        <v>12</v>
      </c>
      <c r="S55">
        <v>12</v>
      </c>
      <c r="T55">
        <v>12</v>
      </c>
      <c r="U55">
        <v>12</v>
      </c>
    </row>
    <row r="56" spans="2:23" ht="30" customHeight="1" x14ac:dyDescent="0.25">
      <c r="B56">
        <v>17021601</v>
      </c>
      <c r="C56" t="s">
        <v>37</v>
      </c>
      <c r="D56" t="s">
        <v>138</v>
      </c>
      <c r="F56" t="s">
        <v>38</v>
      </c>
      <c r="G56" t="s">
        <v>39</v>
      </c>
      <c r="H56" s="2">
        <v>0.7</v>
      </c>
      <c r="I56" s="2">
        <v>46</v>
      </c>
      <c r="J56" s="1">
        <f>VLOOKUP(Tabell2[[#This Row],[Artikkelnr.]],[1]Sheet1!$A:$CK,89,0)</f>
        <v>999</v>
      </c>
      <c r="K56" t="s">
        <v>40</v>
      </c>
      <c r="L56" t="s">
        <v>154</v>
      </c>
      <c r="M56">
        <f t="shared" si="0"/>
        <v>119</v>
      </c>
      <c r="N56">
        <v>13</v>
      </c>
      <c r="O56">
        <v>14</v>
      </c>
      <c r="P56">
        <v>14</v>
      </c>
      <c r="Q56">
        <v>14</v>
      </c>
      <c r="R56">
        <v>12</v>
      </c>
      <c r="S56">
        <v>14</v>
      </c>
      <c r="T56">
        <v>13</v>
      </c>
      <c r="U56">
        <v>13</v>
      </c>
      <c r="V56">
        <v>12</v>
      </c>
    </row>
    <row r="57" spans="2:23" ht="30" customHeight="1" x14ac:dyDescent="0.25">
      <c r="B57">
        <v>14046301</v>
      </c>
      <c r="C57" t="s">
        <v>139</v>
      </c>
      <c r="D57" t="s">
        <v>140</v>
      </c>
      <c r="F57" t="s">
        <v>23</v>
      </c>
      <c r="G57" t="s">
        <v>24</v>
      </c>
      <c r="H57" s="2">
        <v>0.7</v>
      </c>
      <c r="I57" s="2">
        <v>48</v>
      </c>
      <c r="J57" s="1">
        <f>VLOOKUP(Tabell2[[#This Row],[Artikkelnr.]],[1]Sheet1!$A:$CK,89,0)</f>
        <v>2469</v>
      </c>
      <c r="K57" t="s">
        <v>40</v>
      </c>
      <c r="L57" t="s">
        <v>154</v>
      </c>
      <c r="M57">
        <f t="shared" si="0"/>
        <v>9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f>VLOOKUP(Tabell2[[#This Row],[Artikkelnr.]],[2]Ark1!$B:$Y,24,0)</f>
        <v>1</v>
      </c>
    </row>
    <row r="58" spans="2:23" ht="30" customHeight="1" x14ac:dyDescent="0.25">
      <c r="B58">
        <v>17021901</v>
      </c>
      <c r="C58" t="s">
        <v>141</v>
      </c>
      <c r="D58" t="s">
        <v>142</v>
      </c>
      <c r="F58" t="s">
        <v>23</v>
      </c>
      <c r="G58" t="s">
        <v>24</v>
      </c>
      <c r="H58" s="2">
        <v>0.7</v>
      </c>
      <c r="I58" s="2">
        <v>49.4</v>
      </c>
      <c r="J58" s="1">
        <f>VLOOKUP(Tabell2[[#This Row],[Artikkelnr.]],[1]Sheet1!$A:$CK,89,0)</f>
        <v>999.9</v>
      </c>
      <c r="K58" t="s">
        <v>153</v>
      </c>
      <c r="L58" t="s">
        <v>34</v>
      </c>
      <c r="M58">
        <f t="shared" si="0"/>
        <v>59</v>
      </c>
      <c r="N58">
        <v>7</v>
      </c>
      <c r="O58">
        <v>7</v>
      </c>
      <c r="P58">
        <v>8</v>
      </c>
      <c r="Q58">
        <v>7</v>
      </c>
      <c r="R58">
        <v>7</v>
      </c>
      <c r="S58">
        <v>8</v>
      </c>
      <c r="T58">
        <v>7</v>
      </c>
      <c r="U58">
        <v>8</v>
      </c>
    </row>
    <row r="59" spans="2:23" ht="30" customHeight="1" x14ac:dyDescent="0.25">
      <c r="B59">
        <v>17022001</v>
      </c>
      <c r="C59" t="s">
        <v>141</v>
      </c>
      <c r="D59" t="s">
        <v>143</v>
      </c>
      <c r="F59" t="s">
        <v>23</v>
      </c>
      <c r="G59" t="s">
        <v>24</v>
      </c>
      <c r="H59" s="2">
        <v>0.7</v>
      </c>
      <c r="I59" s="2">
        <v>58.3</v>
      </c>
      <c r="J59" s="1">
        <f>VLOOKUP(Tabell2[[#This Row],[Artikkelnr.]],[1]Sheet1!$A:$CK,89,0)</f>
        <v>1199.9000000000001</v>
      </c>
      <c r="K59" t="s">
        <v>153</v>
      </c>
      <c r="L59" t="s">
        <v>34</v>
      </c>
      <c r="M59">
        <f t="shared" si="0"/>
        <v>59</v>
      </c>
      <c r="N59">
        <v>7</v>
      </c>
      <c r="O59">
        <v>8</v>
      </c>
      <c r="P59">
        <v>7</v>
      </c>
      <c r="Q59">
        <v>8</v>
      </c>
      <c r="R59">
        <v>7</v>
      </c>
      <c r="S59">
        <v>7</v>
      </c>
      <c r="T59">
        <v>8</v>
      </c>
      <c r="U59">
        <v>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ignoredErrors>
    <ignoredError sqref="M12:M13" calculatedColumn="1"/>
  </ignoredError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AECF8E22-0DDD-4C13-8E42-9E1A95172920}"/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2024-07-31T13:55:39Z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