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11 Brennevin 3/"/>
    </mc:Choice>
  </mc:AlternateContent>
  <xr:revisionPtr revIDLastSave="116" documentId="8_{8D814FBF-3994-445E-98FF-16EB7D417147}" xr6:coauthVersionLast="47" xr6:coauthVersionMax="47" xr10:uidLastSave="{533D6067-97F8-4377-AE5A-AFB53E31B06F}"/>
  <bookViews>
    <workbookView xWindow="-120" yWindow="-120" windowWidth="29040" windowHeight="17520" xr2:uid="{BE052097-9778-4E71-A305-FED9C9B3892F}"/>
  </bookViews>
  <sheets>
    <sheet name="Ark1" sheetId="1" r:id="rId1"/>
  </sheets>
  <externalReferences>
    <externalReference r:id="rId2"/>
  </externalReferenc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70" i="1"/>
  <c r="W71" i="1"/>
  <c r="W75" i="1"/>
</calcChain>
</file>

<file path=xl/sharedStrings.xml><?xml version="1.0" encoding="utf-8"?>
<sst xmlns="http://schemas.openxmlformats.org/spreadsheetml/2006/main" count="490" uniqueCount="194">
  <si>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</si>
  <si>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</si>
  <si>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</si>
  <si>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</si>
  <si>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</si>
  <si>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</si>
  <si>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</si>
  <si>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</si>
  <si>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</si>
  <si>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</si>
  <si>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</si>
  <si>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</si>
  <si>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</si>
  <si>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</si>
  <si>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</si>
  <si>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</si>
  <si>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</si>
  <si>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</si>
  <si>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</si>
  <si>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</si>
  <si>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</si>
  <si>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Fordeling lager Vestby (801)</t>
  </si>
  <si>
    <t xml:space="preserve">Til kvotering </t>
  </si>
  <si>
    <t>Skottland</t>
  </si>
  <si>
    <t>Single Malt Whisky</t>
  </si>
  <si>
    <t>Frankrike</t>
  </si>
  <si>
    <t>Mexico</t>
  </si>
  <si>
    <t>USA</t>
  </si>
  <si>
    <t>Japan</t>
  </si>
  <si>
    <t>Calvados</t>
  </si>
  <si>
    <t>Rom</t>
  </si>
  <si>
    <t>Irish Distillers Ltd / Midleton Distillery</t>
  </si>
  <si>
    <t>Chivas Brothers Limited / Scapa Distillery</t>
  </si>
  <si>
    <t>Springbank</t>
  </si>
  <si>
    <t>Chartreuse Diffusion</t>
  </si>
  <si>
    <t>Irland</t>
  </si>
  <si>
    <t>Single Pot Still Whiskey</t>
  </si>
  <si>
    <t xml:space="preserve">Skottland </t>
  </si>
  <si>
    <t>Trinidad</t>
  </si>
  <si>
    <t>Likør</t>
  </si>
  <si>
    <t>Pernod Ricard Norway AS</t>
  </si>
  <si>
    <t>Cadus AS</t>
  </si>
  <si>
    <t>Distillium AS</t>
  </si>
  <si>
    <t>Moestue Grape Selections AS</t>
  </si>
  <si>
    <t>Interbrands Spirits Norway AS</t>
  </si>
  <si>
    <t>Cask AS</t>
  </si>
  <si>
    <t>Palmer Spirits AS</t>
  </si>
  <si>
    <t>Edrington Norway AS</t>
  </si>
  <si>
    <t>Interbev AS</t>
  </si>
  <si>
    <t>Crafted Brands AS</t>
  </si>
  <si>
    <t>Malt Norge AS</t>
  </si>
  <si>
    <t>Daracha AS</t>
  </si>
  <si>
    <t>Vectura AS</t>
  </si>
  <si>
    <t>Skanlog AS</t>
  </si>
  <si>
    <t>NBS Logistics AS</t>
  </si>
  <si>
    <t>Cuveco AS</t>
  </si>
  <si>
    <t>Best Global Logistics (Norway) AS</t>
  </si>
  <si>
    <t>Chivas Brothers Limited / Miltonduff Distillery</t>
  </si>
  <si>
    <t>Miltonduff 24 Year Old (New Secret Speyside Collection)</t>
  </si>
  <si>
    <t>Scapa 21 Year Old Orkney Single Malt (New Scapa Collection)</t>
  </si>
  <si>
    <t>Longrow 21yo</t>
  </si>
  <si>
    <t>Springbank 13yo Local Barley</t>
  </si>
  <si>
    <t>Springbank 12yo CS</t>
  </si>
  <si>
    <t>Springbank Sherry Palo Cortado</t>
  </si>
  <si>
    <t>Mezcal Koch</t>
  </si>
  <si>
    <t>Mezcal Koch Jabali Ancestral</t>
  </si>
  <si>
    <t>Mezcal</t>
  </si>
  <si>
    <t>Mezcal Koch Coyote Ancestral</t>
  </si>
  <si>
    <t>Mezcal Koch Pasmo</t>
  </si>
  <si>
    <t>Pokeno</t>
  </si>
  <si>
    <t>Totura Cask</t>
  </si>
  <si>
    <t>New Zealand</t>
  </si>
  <si>
    <t>Single Malt Dreams</t>
  </si>
  <si>
    <t>Westland Distillery 10YO</t>
  </si>
  <si>
    <t xml:space="preserve">Berry Bros. &amp; Rudd </t>
  </si>
  <si>
    <t>Berry Bros. &amp; Rudd Ruadh Maor 2010 cask # 8026</t>
  </si>
  <si>
    <t xml:space="preserve">Gleann Mor Spirits </t>
  </si>
  <si>
    <t>30yo Rare Find Single Malt Scotch Whisky Old Rhosdhu</t>
  </si>
  <si>
    <t>15yo Rare Find Single Malt Scotch Whisky Miltonduff</t>
  </si>
  <si>
    <t>12yo Rare Find Single Malt Scotch Whisky Distilled at – Royal Brackla</t>
  </si>
  <si>
    <t>Maison Ferrand</t>
  </si>
  <si>
    <t>Planteray Sincle Cask Trinidad 2011</t>
  </si>
  <si>
    <t>Ron Diplomatico</t>
  </si>
  <si>
    <t>Diplomático Single Vintage 2008</t>
  </si>
  <si>
    <t>Venezuela</t>
  </si>
  <si>
    <t>The Benriach Distillery Co Ltd</t>
  </si>
  <si>
    <t>Benriach 25YO 1997 Cask 7427</t>
  </si>
  <si>
    <t>Woodford Reserve Dist.</t>
  </si>
  <si>
    <t>Woodford Reserve Master's Collection Sonoma Triple Finish</t>
  </si>
  <si>
    <t>Bourbon</t>
  </si>
  <si>
    <t>Capovilla</t>
  </si>
  <si>
    <t>Distillato di Pere Williams</t>
  </si>
  <si>
    <t>Italia</t>
  </si>
  <si>
    <t>Fruktbrennevin</t>
  </si>
  <si>
    <t>Distillato di Uva Moscato Rosa</t>
  </si>
  <si>
    <t>Distillato di Albicocche Val Venosta</t>
  </si>
  <si>
    <t>Distillato di Lamponi Selvatici</t>
  </si>
  <si>
    <t>Distillato di Amarene &amp; Marasche</t>
  </si>
  <si>
    <t>Grappa di Traminer</t>
  </si>
  <si>
    <t>Grappa</t>
  </si>
  <si>
    <t>Coquerel</t>
  </si>
  <si>
    <t>Coquerel Single Cask 11 ans</t>
  </si>
  <si>
    <t>Coquerel Single Cask 22 ans</t>
  </si>
  <si>
    <t>Loch Lomond Group</t>
  </si>
  <si>
    <t>Glen Scotia Icons of Campletown #2 The Dragon</t>
  </si>
  <si>
    <t xml:space="preserve">Glen Scotia Campbeltown malt festival 2024 </t>
  </si>
  <si>
    <t xml:space="preserve">Glen Scotia 21Yo </t>
  </si>
  <si>
    <t>Firkin Whisky Company</t>
  </si>
  <si>
    <t>Firkin Rare Teaninich 2010 Custom cask Tawny Port</t>
  </si>
  <si>
    <t>Brave New Spirits</t>
  </si>
  <si>
    <t>Brave New Spirits Whisky Heroes The Haunting Songs</t>
  </si>
  <si>
    <t>Brave New Spirits Whisky of Voodoo The High Priest</t>
  </si>
  <si>
    <t>Diageo</t>
  </si>
  <si>
    <t>Singleton of Glen Ord 14 YO SR 2024</t>
  </si>
  <si>
    <t>Scottland</t>
  </si>
  <si>
    <t>Talisker Single Malt Scotch Whisky 8 YO SR 2024</t>
  </si>
  <si>
    <t>Lagavullin Islay Single Malt Scotch Whisky 12 YO SR 2024</t>
  </si>
  <si>
    <t>Benrinnes Speyside Single Malt Scotch Whisky 21 YO SR 2024</t>
  </si>
  <si>
    <t>Oban Single Malt Scotch Whisky 10 YO SR 2024</t>
  </si>
  <si>
    <t>Roseisle Single Malt Scotch Whisky 12 YO SR 2024</t>
  </si>
  <si>
    <t>Caol Ila Islay Single Malt Scotch Whisky 11 YO SR 2024</t>
  </si>
  <si>
    <t>Christian Drouin</t>
  </si>
  <si>
    <t>Gin Pira</t>
  </si>
  <si>
    <t>Gin</t>
  </si>
  <si>
    <t>Masion Boinaud</t>
  </si>
  <si>
    <t>Heriose Pineau des Charante Cask</t>
  </si>
  <si>
    <t>GlenAllachie</t>
  </si>
  <si>
    <t>Meikle Tòir The Sherry One</t>
  </si>
  <si>
    <t>Meikle Toir The Chinquapin 5yo</t>
  </si>
  <si>
    <t>J&amp;G Grant</t>
  </si>
  <si>
    <t>Glenfarclas 30 YO</t>
  </si>
  <si>
    <t>Glenfarclas Family Casks 2005 Cask #3034</t>
  </si>
  <si>
    <t>Château de Lacquy</t>
  </si>
  <si>
    <t>Château de Lacquy Bas-Armagnac 17 ans</t>
  </si>
  <si>
    <t>Château de Lacquy Bas-Armagnac 21 ans</t>
  </si>
  <si>
    <t>Bruichladdich Distillery</t>
  </si>
  <si>
    <t>Bruichladdich 30YO</t>
  </si>
  <si>
    <t>Bruichladdich 18 YO</t>
  </si>
  <si>
    <t>Kentucky Owl LLC</t>
  </si>
  <si>
    <t>Kentucky Owl Takumi</t>
  </si>
  <si>
    <t>Kentucky Owl Maighstir</t>
  </si>
  <si>
    <t>Pisoni</t>
  </si>
  <si>
    <t>Amarone Grappa</t>
  </si>
  <si>
    <t>Chivas Brothers Limited / The Glenlivet Distillery</t>
  </si>
  <si>
    <t>The Glenlivet 21YO Triple Cask Finish First Fill</t>
  </si>
  <si>
    <t>Redbreast Pedro Ximenez Edition Single Pot Still Irish Whiskey</t>
  </si>
  <si>
    <t>Fuji Gotemba Distillery</t>
  </si>
  <si>
    <t>Fuji Single Malt Japanese Whisky</t>
  </si>
  <si>
    <t xml:space="preserve">Adelphi Dist. </t>
  </si>
  <si>
    <t>Ardnamurchan Sherry Cask Release</t>
  </si>
  <si>
    <t>Adelphi Smögen 2013</t>
  </si>
  <si>
    <t>Adelphi Spirit of Yorkshire</t>
  </si>
  <si>
    <t>Adelphi Bowmore</t>
  </si>
  <si>
    <t>Whyte &amp; Mackay</t>
  </si>
  <si>
    <t>Dalmore 2005 Vintage 70cl</t>
  </si>
  <si>
    <t>Distilleria Sibona Spa</t>
  </si>
  <si>
    <t xml:space="preserve">Grappa Riserva Nebbiolo Millesimata </t>
  </si>
  <si>
    <t>Kyrö Distillery Company</t>
  </si>
  <si>
    <t>Kyrö Sauna Stories Planteray Rum Cask Finish</t>
  </si>
  <si>
    <t>Finland</t>
  </si>
  <si>
    <t>Whisky</t>
  </si>
  <si>
    <t>Macallan</t>
  </si>
  <si>
    <t>Macallan Time Space Mastery</t>
  </si>
  <si>
    <t>Macallan Relextion</t>
  </si>
  <si>
    <t>Macallan No.6</t>
  </si>
  <si>
    <t>Macallan Sherry Oak 18YO</t>
  </si>
  <si>
    <t>Brugal</t>
  </si>
  <si>
    <t>Brugal Maestro Reserva</t>
  </si>
  <si>
    <t>Dominikanske republikk</t>
  </si>
  <si>
    <t>Springbank 21 YO</t>
  </si>
  <si>
    <t>Glengyle / Springbank</t>
  </si>
  <si>
    <t>Kilkerran 16 YO</t>
  </si>
  <si>
    <t>Renegade Cane Rum</t>
  </si>
  <si>
    <t>Single Farm Antoine</t>
  </si>
  <si>
    <t>Granada</t>
  </si>
  <si>
    <t>Waterford</t>
  </si>
  <si>
    <t>SFO Ballyroe 1.1</t>
  </si>
  <si>
    <t>Ireland</t>
  </si>
  <si>
    <t>SFO Broomlands 1.2</t>
  </si>
  <si>
    <t>Chartreuse Elixir Liqueur – 1605</t>
  </si>
  <si>
    <t>Arran</t>
  </si>
  <si>
    <t>Arran The Signature Series Barrel Bonfire</t>
  </si>
  <si>
    <t>Lagg Heavily Peated Corriecravie</t>
  </si>
  <si>
    <t>Glenfarclas Family Casks 2001 Cask #3762 (refill hogshead)</t>
  </si>
  <si>
    <t xml:space="preserve">Arnamurchan </t>
  </si>
  <si>
    <t xml:space="preserve">AD Sauternes Cask </t>
  </si>
  <si>
    <t>skottland</t>
  </si>
  <si>
    <t>Løiten Brænderi Destillations ANS</t>
  </si>
  <si>
    <t>Grappolo AS</t>
  </si>
  <si>
    <t>Engelstad Spirits AS</t>
  </si>
  <si>
    <t>Robert Prizelius AS</t>
  </si>
  <si>
    <t>Selected Wine Partners AS</t>
  </si>
  <si>
    <t>Vinhuset AS - Oslo</t>
  </si>
  <si>
    <t>Armagnac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</si>
</sst>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.sharepoint.com/sites/Markedogsortiment/Spesialutvalg/Innkj&#248;p%20Spesialutvalget/Lanseringsmapper/2024/202411%20Brennevin%203/202411%20Arbeidsliste%20Brennevin%203.xlsx" TargetMode="External"/><Relationship Id="rId1" Type="http://schemas.openxmlformats.org/officeDocument/2006/relationships/externalLinkPath" Target="202411%20Arbeidsliste%20Brennevin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</sheetNames>
    <sheetDataSet>
      <sheetData sheetId="0">
        <row r="1">
          <cell r="B1" t="str">
            <v>Artikkelnr.</v>
          </cell>
          <cell r="C1" t="str">
            <v>Produsent</v>
          </cell>
          <cell r="D1" t="str">
            <v>Produktnavn</v>
          </cell>
          <cell r="E1" t="str">
            <v>Årgang</v>
          </cell>
          <cell r="F1" t="str">
            <v>Land</v>
          </cell>
          <cell r="G1" t="str">
            <v>Varetype</v>
          </cell>
          <cell r="H1" t="str">
            <v>Volum</v>
          </cell>
          <cell r="I1" t="str">
            <v>Alkohol</v>
          </cell>
          <cell r="J1" t="str">
            <v>Salgspris</v>
          </cell>
          <cell r="K1" t="str">
            <v>Grossist</v>
          </cell>
          <cell r="L1" t="str">
            <v>Distributør</v>
          </cell>
          <cell r="M1" t="str">
            <v>Totalt antall</v>
          </cell>
          <cell r="N1" t="str">
            <v>Fordeling Aker Brygge (114)</v>
          </cell>
          <cell r="O1" t="str">
            <v>Fordeling Valkendorfsgt (150)</v>
          </cell>
          <cell r="P1" t="str">
            <v>Fordeling Hamar (230)</v>
          </cell>
          <cell r="Q1" t="str">
            <v>Fordeling Sandnes Kvadrat (116)</v>
          </cell>
          <cell r="R1" t="str">
            <v>Fordeling Storo (161)</v>
          </cell>
          <cell r="S1" t="str">
            <v>Fordeling Sandefjord (283)</v>
          </cell>
          <cell r="T1" t="str">
            <v>Fordeling Valentinlyst (180)</v>
          </cell>
          <cell r="U1" t="str">
            <v>Fordeling Tromsø Langnes (282)</v>
          </cell>
          <cell r="V1" t="str">
            <v>Fordeling lager Vestby (801)</v>
          </cell>
          <cell r="W1" t="str">
            <v>Til butikksmaking</v>
          </cell>
          <cell r="X1" t="str">
            <v>Til pressesmaking</v>
          </cell>
          <cell r="Y1" t="str">
            <v xml:space="preserve">Til kvotering </v>
          </cell>
        </row>
        <row r="2">
          <cell r="B2">
            <v>17481301</v>
          </cell>
          <cell r="C2" t="str">
            <v>Chivas Brothers Limited / Miltonduff Distillery</v>
          </cell>
          <cell r="D2" t="str">
            <v>Miltonduff 24 Year Old (New Secret Speyside Collection)</v>
          </cell>
          <cell r="F2" t="str">
            <v>Skottland</v>
          </cell>
          <cell r="G2" t="str">
            <v>Single Malt Whisky</v>
          </cell>
          <cell r="H2">
            <v>0.7</v>
          </cell>
          <cell r="I2">
            <v>52.1</v>
          </cell>
          <cell r="J2">
            <v>3899</v>
          </cell>
          <cell r="K2" t="str">
            <v>Pernod Ricard Norway AS</v>
          </cell>
          <cell r="L2" t="str">
            <v>Skanlog AS</v>
          </cell>
          <cell r="M2">
            <v>102</v>
          </cell>
          <cell r="N2">
            <v>14</v>
          </cell>
          <cell r="O2">
            <v>12</v>
          </cell>
          <cell r="P2">
            <v>12</v>
          </cell>
          <cell r="Q2">
            <v>12</v>
          </cell>
          <cell r="R2">
            <v>12</v>
          </cell>
          <cell r="S2">
            <v>14</v>
          </cell>
          <cell r="T2">
            <v>12</v>
          </cell>
          <cell r="U2">
            <v>14</v>
          </cell>
          <cell r="W2">
            <v>1</v>
          </cell>
        </row>
        <row r="3">
          <cell r="B3">
            <v>18735301</v>
          </cell>
          <cell r="C3" t="str">
            <v>Chivas Brothers Limited / Scapa Distillery</v>
          </cell>
          <cell r="D3" t="str">
            <v>Scapa 21 Year Old Orkney Single Malt (New Scapa Collection)</v>
          </cell>
          <cell r="F3" t="str">
            <v>Skottland</v>
          </cell>
          <cell r="G3" t="str">
            <v>Single Malt Whisky</v>
          </cell>
          <cell r="H3">
            <v>0.7</v>
          </cell>
          <cell r="I3">
            <v>52.9</v>
          </cell>
          <cell r="J3">
            <v>2799</v>
          </cell>
          <cell r="K3" t="str">
            <v>Pernod Ricard Norway AS</v>
          </cell>
          <cell r="L3" t="str">
            <v>Skanlog AS</v>
          </cell>
          <cell r="M3">
            <v>108</v>
          </cell>
          <cell r="N3">
            <v>12</v>
          </cell>
          <cell r="O3">
            <v>12</v>
          </cell>
          <cell r="P3">
            <v>12</v>
          </cell>
          <cell r="Q3">
            <v>12</v>
          </cell>
          <cell r="R3">
            <v>12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W3">
            <v>1</v>
          </cell>
        </row>
        <row r="4">
          <cell r="B4">
            <v>17498501</v>
          </cell>
          <cell r="C4" t="str">
            <v>Springbank</v>
          </cell>
          <cell r="D4" t="str">
            <v>Longrow 21yo</v>
          </cell>
          <cell r="F4" t="str">
            <v>Skottland</v>
          </cell>
          <cell r="G4" t="str">
            <v>Single Malt Whisky</v>
          </cell>
          <cell r="H4">
            <v>0.7</v>
          </cell>
          <cell r="I4">
            <v>46</v>
          </cell>
          <cell r="J4">
            <v>3414.2</v>
          </cell>
          <cell r="K4" t="str">
            <v>Moestue Grape Selections AS</v>
          </cell>
          <cell r="L4" t="str">
            <v>Skanlog AS</v>
          </cell>
          <cell r="M4">
            <v>54</v>
          </cell>
          <cell r="N4">
            <v>6</v>
          </cell>
          <cell r="O4">
            <v>6</v>
          </cell>
          <cell r="P4">
            <v>6</v>
          </cell>
          <cell r="Q4">
            <v>6</v>
          </cell>
          <cell r="R4">
            <v>6</v>
          </cell>
          <cell r="S4">
            <v>6</v>
          </cell>
          <cell r="T4">
            <v>6</v>
          </cell>
          <cell r="U4">
            <v>6</v>
          </cell>
          <cell r="V4">
            <v>6</v>
          </cell>
          <cell r="W4">
            <v>1</v>
          </cell>
          <cell r="Y4" t="str">
            <v>Maks 1 flaske Springbank pr kunde</v>
          </cell>
        </row>
        <row r="5">
          <cell r="B5">
            <v>17498301</v>
          </cell>
          <cell r="C5" t="str">
            <v>Springbank</v>
          </cell>
          <cell r="D5" t="str">
            <v>Springbank 13yo Local Barley</v>
          </cell>
          <cell r="F5" t="str">
            <v>Skottland</v>
          </cell>
          <cell r="G5" t="str">
            <v>Single Malt Whisky</v>
          </cell>
          <cell r="H5">
            <v>0.7</v>
          </cell>
          <cell r="I5">
            <v>54.1</v>
          </cell>
          <cell r="J5">
            <v>1585.4</v>
          </cell>
          <cell r="K5" t="str">
            <v>Moestue Grape Selections AS</v>
          </cell>
          <cell r="L5" t="str">
            <v>Skanlog AS</v>
          </cell>
          <cell r="M5">
            <v>42</v>
          </cell>
          <cell r="N5">
            <v>6</v>
          </cell>
          <cell r="O5">
            <v>5</v>
          </cell>
          <cell r="P5">
            <v>5</v>
          </cell>
          <cell r="Q5">
            <v>5</v>
          </cell>
          <cell r="R5">
            <v>5</v>
          </cell>
          <cell r="S5">
            <v>5</v>
          </cell>
          <cell r="T5">
            <v>5</v>
          </cell>
          <cell r="U5">
            <v>6</v>
          </cell>
          <cell r="W5">
            <v>1</v>
          </cell>
          <cell r="Y5" t="str">
            <v>Maks 1 flaske Springbank pr kunde</v>
          </cell>
        </row>
        <row r="6">
          <cell r="B6">
            <v>17502201</v>
          </cell>
          <cell r="C6" t="str">
            <v>Springbank</v>
          </cell>
          <cell r="D6" t="str">
            <v>Springbank 12yo CS</v>
          </cell>
          <cell r="F6" t="str">
            <v>Skottland</v>
          </cell>
          <cell r="G6" t="str">
            <v>Single Malt Whisky</v>
          </cell>
          <cell r="H6">
            <v>0.7</v>
          </cell>
          <cell r="I6">
            <v>57.2</v>
          </cell>
          <cell r="J6">
            <v>1185.4000000000001</v>
          </cell>
          <cell r="K6" t="str">
            <v>Moestue Grape Selections AS</v>
          </cell>
          <cell r="L6" t="str">
            <v>Skanlog AS</v>
          </cell>
          <cell r="M6">
            <v>142</v>
          </cell>
          <cell r="N6">
            <v>12</v>
          </cell>
          <cell r="O6">
            <v>12</v>
          </cell>
          <cell r="P6">
            <v>12</v>
          </cell>
          <cell r="Q6">
            <v>12</v>
          </cell>
          <cell r="R6">
            <v>12</v>
          </cell>
          <cell r="S6">
            <v>12</v>
          </cell>
          <cell r="T6">
            <v>12</v>
          </cell>
          <cell r="U6">
            <v>12</v>
          </cell>
          <cell r="V6">
            <v>46</v>
          </cell>
          <cell r="W6">
            <v>1</v>
          </cell>
          <cell r="Y6" t="str">
            <v>Maks 1 flaske Springbank pr kunde</v>
          </cell>
        </row>
        <row r="7">
          <cell r="B7">
            <v>17498601</v>
          </cell>
          <cell r="C7" t="str">
            <v>Springbank</v>
          </cell>
          <cell r="D7" t="str">
            <v>Springbank Sherry Palo Cortado</v>
          </cell>
          <cell r="F7" t="str">
            <v>Skottland</v>
          </cell>
          <cell r="G7" t="str">
            <v>Single Malt Whisky</v>
          </cell>
          <cell r="H7">
            <v>0.7</v>
          </cell>
          <cell r="I7">
            <v>55</v>
          </cell>
          <cell r="J7">
            <v>1485.4</v>
          </cell>
          <cell r="K7" t="str">
            <v>Moestue Grape Selections AS</v>
          </cell>
          <cell r="L7" t="str">
            <v>Skanlog AS</v>
          </cell>
          <cell r="M7">
            <v>54</v>
          </cell>
          <cell r="N7">
            <v>6</v>
          </cell>
          <cell r="O7">
            <v>6</v>
          </cell>
          <cell r="P7">
            <v>6</v>
          </cell>
          <cell r="Q7">
            <v>6</v>
          </cell>
          <cell r="R7">
            <v>6</v>
          </cell>
          <cell r="S7">
            <v>6</v>
          </cell>
          <cell r="T7">
            <v>6</v>
          </cell>
          <cell r="U7">
            <v>6</v>
          </cell>
          <cell r="V7">
            <v>6</v>
          </cell>
          <cell r="W7">
            <v>1</v>
          </cell>
          <cell r="Y7" t="str">
            <v>Maks 1 flaske Springbank pr kunde</v>
          </cell>
        </row>
        <row r="8">
          <cell r="B8">
            <v>18553801</v>
          </cell>
          <cell r="C8" t="str">
            <v>Single Malt Dreams</v>
          </cell>
          <cell r="D8" t="str">
            <v>Westland Distillery 10YO</v>
          </cell>
          <cell r="E8">
            <v>2014</v>
          </cell>
          <cell r="F8" t="str">
            <v>USA</v>
          </cell>
          <cell r="G8" t="str">
            <v>Single Malt Whisky</v>
          </cell>
          <cell r="H8">
            <v>0.7</v>
          </cell>
          <cell r="I8">
            <v>58</v>
          </cell>
          <cell r="J8">
            <v>1385</v>
          </cell>
          <cell r="K8" t="str">
            <v>Malt Norge AS</v>
          </cell>
          <cell r="L8" t="str">
            <v>Vectura AS</v>
          </cell>
          <cell r="M8">
            <v>100</v>
          </cell>
          <cell r="N8">
            <v>16</v>
          </cell>
          <cell r="O8">
            <v>12</v>
          </cell>
          <cell r="P8">
            <v>12</v>
          </cell>
          <cell r="Q8">
            <v>12</v>
          </cell>
          <cell r="R8">
            <v>12</v>
          </cell>
          <cell r="S8">
            <v>12</v>
          </cell>
          <cell r="T8">
            <v>12</v>
          </cell>
          <cell r="U8">
            <v>12</v>
          </cell>
          <cell r="W8">
            <v>1</v>
          </cell>
        </row>
        <row r="9">
          <cell r="B9">
            <v>18714201</v>
          </cell>
          <cell r="C9" t="str">
            <v xml:space="preserve">Berry Bros. &amp; Rudd </v>
          </cell>
          <cell r="D9" t="str">
            <v>Berry Bros. &amp; Rudd Ruadh Maor 2010 cask # 8026</v>
          </cell>
          <cell r="E9">
            <v>2010</v>
          </cell>
          <cell r="F9" t="str">
            <v xml:space="preserve">Skottland </v>
          </cell>
          <cell r="G9" t="str">
            <v>Single Malt Whisky</v>
          </cell>
          <cell r="H9">
            <v>0.7</v>
          </cell>
          <cell r="I9">
            <v>57.1</v>
          </cell>
          <cell r="J9">
            <v>1908.7</v>
          </cell>
          <cell r="K9" t="str">
            <v>Cadus AS</v>
          </cell>
          <cell r="L9" t="str">
            <v>NBS Logistics AS</v>
          </cell>
          <cell r="M9">
            <v>96</v>
          </cell>
          <cell r="N9">
            <v>12</v>
          </cell>
          <cell r="O9">
            <v>12</v>
          </cell>
          <cell r="P9">
            <v>12</v>
          </cell>
          <cell r="Q9">
            <v>12</v>
          </cell>
          <cell r="R9">
            <v>12</v>
          </cell>
          <cell r="S9">
            <v>12</v>
          </cell>
          <cell r="T9">
            <v>12</v>
          </cell>
          <cell r="U9">
            <v>12</v>
          </cell>
          <cell r="W9">
            <v>1</v>
          </cell>
        </row>
        <row r="10">
          <cell r="B10">
            <v>18714101</v>
          </cell>
          <cell r="C10" t="str">
            <v xml:space="preserve">Gleann Mor Spirits </v>
          </cell>
          <cell r="D10" t="str">
            <v>30yo Rare Find Single Malt Scotch Whisky Old Rhosdhu</v>
          </cell>
          <cell r="G10" t="str">
            <v>Single Malt Whisky</v>
          </cell>
          <cell r="H10">
            <v>0.7</v>
          </cell>
          <cell r="I10">
            <v>58.6</v>
          </cell>
          <cell r="J10">
            <v>4566.5</v>
          </cell>
          <cell r="K10" t="str">
            <v>Cadus AS</v>
          </cell>
          <cell r="L10" t="str">
            <v>NBS Logistics AS</v>
          </cell>
          <cell r="M10">
            <v>24</v>
          </cell>
          <cell r="N10">
            <v>3</v>
          </cell>
          <cell r="O10">
            <v>3</v>
          </cell>
          <cell r="P10">
            <v>3</v>
          </cell>
          <cell r="Q10">
            <v>3</v>
          </cell>
          <cell r="R10">
            <v>3</v>
          </cell>
          <cell r="S10">
            <v>3</v>
          </cell>
          <cell r="T10">
            <v>3</v>
          </cell>
          <cell r="U10">
            <v>3</v>
          </cell>
        </row>
        <row r="11">
          <cell r="B11">
            <v>18714001</v>
          </cell>
          <cell r="C11" t="str">
            <v xml:space="preserve">Gleann Mor Spirits </v>
          </cell>
          <cell r="D11" t="str">
            <v>15yo Rare Find Single Malt Scotch Whisky Miltonduff</v>
          </cell>
          <cell r="F11" t="str">
            <v xml:space="preserve">Skottland </v>
          </cell>
          <cell r="G11" t="str">
            <v>Single Malt Whisky</v>
          </cell>
          <cell r="H11">
            <v>0.7</v>
          </cell>
          <cell r="I11">
            <v>57.6</v>
          </cell>
          <cell r="J11">
            <v>1819.1</v>
          </cell>
          <cell r="K11" t="str">
            <v>Cadus AS</v>
          </cell>
          <cell r="L11" t="str">
            <v>NBS Logistics AS</v>
          </cell>
          <cell r="M11">
            <v>108</v>
          </cell>
          <cell r="N11">
            <v>12</v>
          </cell>
          <cell r="O11">
            <v>12</v>
          </cell>
          <cell r="P11">
            <v>12</v>
          </cell>
          <cell r="Q11">
            <v>12</v>
          </cell>
          <cell r="R11">
            <v>12</v>
          </cell>
          <cell r="S11">
            <v>12</v>
          </cell>
          <cell r="T11">
            <v>12</v>
          </cell>
          <cell r="U11">
            <v>12</v>
          </cell>
          <cell r="V11">
            <v>12</v>
          </cell>
          <cell r="W11">
            <v>1</v>
          </cell>
        </row>
        <row r="12">
          <cell r="B12">
            <v>18713901</v>
          </cell>
          <cell r="C12" t="str">
            <v xml:space="preserve">Gleann Mor Spirits </v>
          </cell>
          <cell r="D12" t="str">
            <v>12yo Rare Find Single Malt Scotch Whisky Distilled at – Royal Brackla</v>
          </cell>
          <cell r="F12" t="str">
            <v xml:space="preserve">Skottland </v>
          </cell>
          <cell r="G12" t="str">
            <v>Single Malt Whisky</v>
          </cell>
          <cell r="H12">
            <v>0.7</v>
          </cell>
          <cell r="I12">
            <v>59.5</v>
          </cell>
          <cell r="J12">
            <v>2061.5</v>
          </cell>
          <cell r="K12" t="str">
            <v>Cadus AS</v>
          </cell>
          <cell r="L12" t="str">
            <v>NBS Logistics AS</v>
          </cell>
          <cell r="M12">
            <v>108</v>
          </cell>
          <cell r="N12">
            <v>12</v>
          </cell>
          <cell r="O12">
            <v>12</v>
          </cell>
          <cell r="P12">
            <v>12</v>
          </cell>
          <cell r="Q12">
            <v>12</v>
          </cell>
          <cell r="R12">
            <v>12</v>
          </cell>
          <cell r="S12">
            <v>12</v>
          </cell>
          <cell r="T12">
            <v>12</v>
          </cell>
          <cell r="U12">
            <v>12</v>
          </cell>
          <cell r="V12">
            <v>12</v>
          </cell>
          <cell r="W12">
            <v>1</v>
          </cell>
        </row>
        <row r="13">
          <cell r="B13">
            <v>18745701</v>
          </cell>
          <cell r="C13" t="str">
            <v>Maison Ferrand</v>
          </cell>
          <cell r="D13" t="str">
            <v>Planteray Sincle Cask Trinidad 2011</v>
          </cell>
          <cell r="E13">
            <v>2011</v>
          </cell>
          <cell r="F13" t="str">
            <v>Trinidad</v>
          </cell>
          <cell r="G13" t="str">
            <v>Rom</v>
          </cell>
          <cell r="H13">
            <v>0.7</v>
          </cell>
          <cell r="I13">
            <v>48.4</v>
          </cell>
          <cell r="J13">
            <v>1249.9000000000001</v>
          </cell>
          <cell r="K13" t="str">
            <v>Løiten Brænderi Destillations ANS</v>
          </cell>
          <cell r="L13" t="str">
            <v>Vectura AS</v>
          </cell>
          <cell r="M13">
            <v>126</v>
          </cell>
          <cell r="N13">
            <v>14</v>
          </cell>
          <cell r="O13">
            <v>14</v>
          </cell>
          <cell r="P13">
            <v>14</v>
          </cell>
          <cell r="Q13">
            <v>14</v>
          </cell>
          <cell r="R13">
            <v>14</v>
          </cell>
          <cell r="S13">
            <v>14</v>
          </cell>
          <cell r="T13">
            <v>14</v>
          </cell>
          <cell r="U13">
            <v>14</v>
          </cell>
          <cell r="V13">
            <v>14</v>
          </cell>
          <cell r="W13">
            <v>1</v>
          </cell>
        </row>
        <row r="14">
          <cell r="B14">
            <v>18742601</v>
          </cell>
          <cell r="C14" t="str">
            <v>Ron Diplomatico</v>
          </cell>
          <cell r="D14" t="str">
            <v>Diplomático Single Vintage 2008</v>
          </cell>
          <cell r="E14">
            <v>2008</v>
          </cell>
          <cell r="F14" t="str">
            <v>Venezuela</v>
          </cell>
          <cell r="G14" t="str">
            <v>Rom</v>
          </cell>
          <cell r="H14">
            <v>0.7</v>
          </cell>
          <cell r="I14">
            <v>43</v>
          </cell>
          <cell r="J14">
            <v>1532.5</v>
          </cell>
          <cell r="K14" t="str">
            <v>Interbev AS</v>
          </cell>
          <cell r="L14" t="str">
            <v>Vectura AS</v>
          </cell>
          <cell r="M14">
            <v>48</v>
          </cell>
          <cell r="N14">
            <v>6</v>
          </cell>
          <cell r="O14">
            <v>6</v>
          </cell>
          <cell r="P14">
            <v>6</v>
          </cell>
          <cell r="Q14">
            <v>6</v>
          </cell>
          <cell r="R14">
            <v>6</v>
          </cell>
          <cell r="S14">
            <v>6</v>
          </cell>
          <cell r="T14">
            <v>6</v>
          </cell>
          <cell r="U14">
            <v>6</v>
          </cell>
          <cell r="W14">
            <v>1</v>
          </cell>
        </row>
        <row r="15">
          <cell r="B15">
            <v>18742701</v>
          </cell>
          <cell r="C15" t="str">
            <v>The Benriach Distillery Co Ltd</v>
          </cell>
          <cell r="D15" t="str">
            <v>Benriach 25YO 1997 Cask 7427</v>
          </cell>
          <cell r="F15" t="str">
            <v>Skottland</v>
          </cell>
          <cell r="G15" t="str">
            <v>Single Malt Whisky</v>
          </cell>
          <cell r="H15">
            <v>0.7</v>
          </cell>
          <cell r="I15">
            <v>52.5</v>
          </cell>
          <cell r="J15">
            <v>6650</v>
          </cell>
          <cell r="K15" t="str">
            <v>Interbev AS</v>
          </cell>
          <cell r="L15" t="str">
            <v>Vectura AS</v>
          </cell>
          <cell r="M15">
            <v>18</v>
          </cell>
          <cell r="N15">
            <v>2</v>
          </cell>
          <cell r="O15">
            <v>2</v>
          </cell>
          <cell r="P15">
            <v>2</v>
          </cell>
          <cell r="Q15">
            <v>2</v>
          </cell>
          <cell r="R15">
            <v>2</v>
          </cell>
          <cell r="S15">
            <v>2</v>
          </cell>
          <cell r="T15">
            <v>2</v>
          </cell>
          <cell r="U15">
            <v>2</v>
          </cell>
          <cell r="V15">
            <v>2</v>
          </cell>
        </row>
        <row r="16">
          <cell r="B16">
            <v>18742801</v>
          </cell>
          <cell r="C16" t="str">
            <v>Woodford Reserve Dist.</v>
          </cell>
          <cell r="D16" t="str">
            <v>Woodford Reserve Master's Collection Sonoma Triple Finish</v>
          </cell>
          <cell r="F16" t="str">
            <v>USA</v>
          </cell>
          <cell r="G16" t="str">
            <v>Bourbon</v>
          </cell>
          <cell r="H16">
            <v>0.7</v>
          </cell>
          <cell r="I16">
            <v>45.2</v>
          </cell>
          <cell r="J16">
            <v>1924.9</v>
          </cell>
          <cell r="K16" t="str">
            <v>Interbev AS</v>
          </cell>
          <cell r="L16" t="str">
            <v>Vectura AS</v>
          </cell>
          <cell r="M16">
            <v>12</v>
          </cell>
          <cell r="N16">
            <v>3</v>
          </cell>
          <cell r="O16">
            <v>2</v>
          </cell>
          <cell r="P16">
            <v>1</v>
          </cell>
          <cell r="Q16">
            <v>1</v>
          </cell>
          <cell r="R16">
            <v>2</v>
          </cell>
          <cell r="S16">
            <v>1</v>
          </cell>
          <cell r="T16">
            <v>1</v>
          </cell>
          <cell r="U16">
            <v>1</v>
          </cell>
        </row>
        <row r="17">
          <cell r="B17">
            <v>7433802</v>
          </cell>
          <cell r="C17" t="str">
            <v>Capovilla</v>
          </cell>
          <cell r="D17" t="str">
            <v>Distillato di Pere Williams</v>
          </cell>
          <cell r="E17">
            <v>2019</v>
          </cell>
          <cell r="F17" t="str">
            <v>Italia</v>
          </cell>
          <cell r="G17" t="str">
            <v>Fruktbrennevin</v>
          </cell>
          <cell r="H17">
            <v>0.5</v>
          </cell>
          <cell r="I17">
            <v>41</v>
          </cell>
          <cell r="J17">
            <v>1080</v>
          </cell>
          <cell r="K17" t="str">
            <v>Grappolo AS</v>
          </cell>
          <cell r="L17" t="str">
            <v>Vinhuset AS - Oslo</v>
          </cell>
          <cell r="M17">
            <v>30</v>
          </cell>
          <cell r="N17">
            <v>4</v>
          </cell>
          <cell r="O17">
            <v>4</v>
          </cell>
          <cell r="P17">
            <v>4</v>
          </cell>
          <cell r="Q17">
            <v>3</v>
          </cell>
          <cell r="R17">
            <v>4</v>
          </cell>
          <cell r="S17">
            <v>4</v>
          </cell>
          <cell r="T17">
            <v>4</v>
          </cell>
          <cell r="U17">
            <v>3</v>
          </cell>
          <cell r="W17">
            <v>1</v>
          </cell>
        </row>
        <row r="18">
          <cell r="B18">
            <v>18739202</v>
          </cell>
          <cell r="C18" t="str">
            <v>Capovilla</v>
          </cell>
          <cell r="D18" t="str">
            <v>Distillato di Uva Moscato Rosa</v>
          </cell>
          <cell r="E18">
            <v>2007</v>
          </cell>
          <cell r="F18" t="str">
            <v>Italia</v>
          </cell>
          <cell r="G18" t="str">
            <v>Fruktbrennevin</v>
          </cell>
          <cell r="H18">
            <v>0.5</v>
          </cell>
          <cell r="I18">
            <v>41</v>
          </cell>
          <cell r="J18">
            <v>1150</v>
          </cell>
          <cell r="K18" t="str">
            <v>Grappolo AS</v>
          </cell>
          <cell r="L18" t="str">
            <v>Vinhuset AS - Oslo</v>
          </cell>
          <cell r="M18">
            <v>18</v>
          </cell>
          <cell r="N18">
            <v>4</v>
          </cell>
          <cell r="O18">
            <v>2</v>
          </cell>
          <cell r="P18">
            <v>2</v>
          </cell>
          <cell r="Q18">
            <v>2</v>
          </cell>
          <cell r="R18">
            <v>2</v>
          </cell>
          <cell r="S18">
            <v>2</v>
          </cell>
          <cell r="T18">
            <v>2</v>
          </cell>
          <cell r="U18">
            <v>2</v>
          </cell>
        </row>
        <row r="19">
          <cell r="B19">
            <v>3599002</v>
          </cell>
          <cell r="C19" t="str">
            <v>Capovilla</v>
          </cell>
          <cell r="D19" t="str">
            <v>Distillato di Albicocche Val Venosta</v>
          </cell>
          <cell r="E19">
            <v>2019</v>
          </cell>
          <cell r="F19" t="str">
            <v>Italia</v>
          </cell>
          <cell r="G19" t="str">
            <v>Fruktbrennevin</v>
          </cell>
          <cell r="H19">
            <v>0.5</v>
          </cell>
          <cell r="I19">
            <v>41</v>
          </cell>
          <cell r="J19">
            <v>1260</v>
          </cell>
          <cell r="K19" t="str">
            <v>Grappolo AS</v>
          </cell>
          <cell r="L19" t="str">
            <v>Vinhuset AS - Oslo</v>
          </cell>
          <cell r="M19">
            <v>18</v>
          </cell>
          <cell r="N19">
            <v>4</v>
          </cell>
          <cell r="O19">
            <v>2</v>
          </cell>
          <cell r="P19">
            <v>2</v>
          </cell>
          <cell r="Q19">
            <v>2</v>
          </cell>
          <cell r="R19">
            <v>2</v>
          </cell>
          <cell r="S19">
            <v>2</v>
          </cell>
          <cell r="T19">
            <v>2</v>
          </cell>
          <cell r="U19">
            <v>2</v>
          </cell>
        </row>
        <row r="20">
          <cell r="B20">
            <v>12432402</v>
          </cell>
          <cell r="C20" t="str">
            <v>Capovilla</v>
          </cell>
          <cell r="D20" t="str">
            <v>Distillato di Lamponi Selvatici</v>
          </cell>
          <cell r="E20">
            <v>2020</v>
          </cell>
          <cell r="F20" t="str">
            <v>Italia</v>
          </cell>
          <cell r="G20" t="str">
            <v>Fruktbrennevin</v>
          </cell>
          <cell r="H20">
            <v>0.5</v>
          </cell>
          <cell r="I20">
            <v>41</v>
          </cell>
          <cell r="J20">
            <v>1850</v>
          </cell>
          <cell r="K20" t="str">
            <v>Grappolo AS</v>
          </cell>
          <cell r="L20" t="str">
            <v>Vinhuset AS - Oslo</v>
          </cell>
          <cell r="M20">
            <v>18</v>
          </cell>
          <cell r="N20">
            <v>4</v>
          </cell>
          <cell r="O20">
            <v>2</v>
          </cell>
          <cell r="P20">
            <v>2</v>
          </cell>
          <cell r="Q20">
            <v>2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>
            <v>3599202</v>
          </cell>
          <cell r="C21" t="str">
            <v>Capovilla</v>
          </cell>
          <cell r="D21" t="str">
            <v>Distillato di Amarene &amp; Marasche</v>
          </cell>
          <cell r="E21">
            <v>2014</v>
          </cell>
          <cell r="F21" t="str">
            <v>Italia</v>
          </cell>
          <cell r="G21" t="str">
            <v>Fruktbrennevin</v>
          </cell>
          <cell r="H21">
            <v>0.5</v>
          </cell>
          <cell r="I21">
            <v>41</v>
          </cell>
          <cell r="J21">
            <v>1150</v>
          </cell>
          <cell r="K21" t="str">
            <v>Grappolo AS</v>
          </cell>
          <cell r="L21" t="str">
            <v>Vinhuset AS - Oslo</v>
          </cell>
          <cell r="M21">
            <v>12</v>
          </cell>
          <cell r="N21">
            <v>2</v>
          </cell>
          <cell r="O21">
            <v>1</v>
          </cell>
          <cell r="P21">
            <v>2</v>
          </cell>
          <cell r="Q21">
            <v>1</v>
          </cell>
          <cell r="R21">
            <v>2</v>
          </cell>
          <cell r="S21">
            <v>2</v>
          </cell>
          <cell r="T21">
            <v>1</v>
          </cell>
          <cell r="U21">
            <v>1</v>
          </cell>
        </row>
        <row r="22">
          <cell r="B22">
            <v>3601202</v>
          </cell>
          <cell r="C22" t="str">
            <v>Capovilla</v>
          </cell>
          <cell r="D22" t="str">
            <v>Grappa di Traminer</v>
          </cell>
          <cell r="E22">
            <v>2012</v>
          </cell>
          <cell r="F22" t="str">
            <v>Italia</v>
          </cell>
          <cell r="G22" t="str">
            <v>Grappa</v>
          </cell>
          <cell r="H22">
            <v>0.5</v>
          </cell>
          <cell r="I22">
            <v>41</v>
          </cell>
          <cell r="J22">
            <v>920</v>
          </cell>
          <cell r="K22" t="str">
            <v>Grappolo AS</v>
          </cell>
          <cell r="L22" t="str">
            <v>Vinhuset AS - Oslo</v>
          </cell>
          <cell r="M22">
            <v>18</v>
          </cell>
          <cell r="N22">
            <v>4</v>
          </cell>
          <cell r="O22">
            <v>2</v>
          </cell>
          <cell r="P22">
            <v>2</v>
          </cell>
          <cell r="Q22">
            <v>2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>
            <v>18737601</v>
          </cell>
          <cell r="C23" t="str">
            <v>Coquerel</v>
          </cell>
          <cell r="D23" t="str">
            <v>Coquerel Single Cask 11 ans</v>
          </cell>
          <cell r="F23" t="str">
            <v>Frankrike</v>
          </cell>
          <cell r="G23" t="str">
            <v>Calvados</v>
          </cell>
          <cell r="H23">
            <v>0.7</v>
          </cell>
          <cell r="I23">
            <v>44.1</v>
          </cell>
          <cell r="J23">
            <v>1199.9000000000001</v>
          </cell>
          <cell r="K23" t="str">
            <v>Distillium AS</v>
          </cell>
          <cell r="L23" t="str">
            <v>Skanlog AS</v>
          </cell>
          <cell r="M23">
            <v>96</v>
          </cell>
          <cell r="N23">
            <v>12</v>
          </cell>
          <cell r="O23">
            <v>12</v>
          </cell>
          <cell r="P23">
            <v>12</v>
          </cell>
          <cell r="Q23">
            <v>12</v>
          </cell>
          <cell r="R23">
            <v>12</v>
          </cell>
          <cell r="S23">
            <v>12</v>
          </cell>
          <cell r="T23">
            <v>12</v>
          </cell>
          <cell r="U23">
            <v>12</v>
          </cell>
          <cell r="W23">
            <v>1</v>
          </cell>
        </row>
        <row r="24">
          <cell r="B24">
            <v>18737701</v>
          </cell>
          <cell r="C24" t="str">
            <v>Coquerel</v>
          </cell>
          <cell r="D24" t="str">
            <v>Coquerel Single Cask 22 ans</v>
          </cell>
          <cell r="F24" t="str">
            <v>Frankrike</v>
          </cell>
          <cell r="G24" t="str">
            <v>Calvados</v>
          </cell>
          <cell r="H24">
            <v>0.7</v>
          </cell>
          <cell r="I24">
            <v>46.4</v>
          </cell>
          <cell r="J24">
            <v>1849.9</v>
          </cell>
          <cell r="K24" t="str">
            <v>Distillium AS</v>
          </cell>
          <cell r="L24" t="str">
            <v>Skanlog AS</v>
          </cell>
          <cell r="M24">
            <v>96</v>
          </cell>
          <cell r="N24">
            <v>12</v>
          </cell>
          <cell r="O24">
            <v>12</v>
          </cell>
          <cell r="P24">
            <v>12</v>
          </cell>
          <cell r="Q24">
            <v>12</v>
          </cell>
          <cell r="R24">
            <v>12</v>
          </cell>
          <cell r="S24">
            <v>12</v>
          </cell>
          <cell r="T24">
            <v>12</v>
          </cell>
          <cell r="U24">
            <v>12</v>
          </cell>
          <cell r="W24">
            <v>1</v>
          </cell>
        </row>
        <row r="25">
          <cell r="B25">
            <v>18808901</v>
          </cell>
          <cell r="C25" t="str">
            <v>Loch Lomond Group</v>
          </cell>
          <cell r="D25" t="str">
            <v>Glen Scotia Icons of Campletown #2 The Dragon</v>
          </cell>
          <cell r="E25">
            <v>2024</v>
          </cell>
          <cell r="F25" t="str">
            <v>Skottland</v>
          </cell>
          <cell r="G25" t="str">
            <v>Single Malt Whisky</v>
          </cell>
          <cell r="H25">
            <v>0.7</v>
          </cell>
          <cell r="I25">
            <v>56.8</v>
          </cell>
          <cell r="J25">
            <v>1519.6</v>
          </cell>
          <cell r="K25" t="str">
            <v>Crafted Brands AS</v>
          </cell>
          <cell r="L25" t="str">
            <v>Cuveco AS</v>
          </cell>
          <cell r="M25">
            <v>90</v>
          </cell>
          <cell r="N25">
            <v>10</v>
          </cell>
          <cell r="O25">
            <v>10</v>
          </cell>
          <cell r="P25">
            <v>10</v>
          </cell>
          <cell r="Q25">
            <v>10</v>
          </cell>
          <cell r="R25">
            <v>10</v>
          </cell>
          <cell r="S25">
            <v>10</v>
          </cell>
          <cell r="T25">
            <v>10</v>
          </cell>
          <cell r="U25">
            <v>10</v>
          </cell>
          <cell r="V25">
            <v>10</v>
          </cell>
          <cell r="W25">
            <v>1</v>
          </cell>
        </row>
        <row r="26">
          <cell r="B26">
            <v>17358501</v>
          </cell>
          <cell r="C26" t="str">
            <v>Loch Lomond Group</v>
          </cell>
          <cell r="D26" t="str">
            <v xml:space="preserve">Glen Scotia Campbeltown malt festival 2024 </v>
          </cell>
          <cell r="F26" t="str">
            <v>Skottland</v>
          </cell>
          <cell r="G26" t="str">
            <v>Single Malt Whisky</v>
          </cell>
          <cell r="H26">
            <v>0.7</v>
          </cell>
          <cell r="I26">
            <v>56.2</v>
          </cell>
          <cell r="J26">
            <v>1219.5999999999999</v>
          </cell>
          <cell r="K26" t="str">
            <v>Crafted Brands AS</v>
          </cell>
          <cell r="L26" t="str">
            <v>Cuveco AS</v>
          </cell>
          <cell r="M26">
            <v>96</v>
          </cell>
          <cell r="N26">
            <v>12</v>
          </cell>
          <cell r="O26">
            <v>12</v>
          </cell>
          <cell r="P26">
            <v>12</v>
          </cell>
          <cell r="Q26">
            <v>12</v>
          </cell>
          <cell r="R26">
            <v>12</v>
          </cell>
          <cell r="S26">
            <v>12</v>
          </cell>
          <cell r="T26">
            <v>12</v>
          </cell>
          <cell r="U26">
            <v>12</v>
          </cell>
          <cell r="W26">
            <v>1</v>
          </cell>
        </row>
        <row r="27">
          <cell r="B27">
            <v>18809001</v>
          </cell>
          <cell r="C27" t="str">
            <v>Loch Lomond Group</v>
          </cell>
          <cell r="D27" t="str">
            <v xml:space="preserve">Glen Scotia 21Yo </v>
          </cell>
          <cell r="F27" t="str">
            <v>Skottland</v>
          </cell>
          <cell r="G27" t="str">
            <v>Single Malt Whisky</v>
          </cell>
          <cell r="H27">
            <v>0.7</v>
          </cell>
          <cell r="I27">
            <v>46</v>
          </cell>
          <cell r="J27">
            <v>3668.3</v>
          </cell>
          <cell r="K27" t="str">
            <v>Crafted Brands AS</v>
          </cell>
          <cell r="L27" t="str">
            <v>Cuveco AS</v>
          </cell>
          <cell r="M27">
            <v>60</v>
          </cell>
          <cell r="N27">
            <v>8</v>
          </cell>
          <cell r="O27">
            <v>8</v>
          </cell>
          <cell r="P27">
            <v>7</v>
          </cell>
          <cell r="Q27">
            <v>7</v>
          </cell>
          <cell r="R27">
            <v>7</v>
          </cell>
          <cell r="S27">
            <v>8</v>
          </cell>
          <cell r="T27">
            <v>7</v>
          </cell>
          <cell r="U27">
            <v>8</v>
          </cell>
          <cell r="W27">
            <v>1</v>
          </cell>
        </row>
        <row r="28">
          <cell r="B28">
            <v>18820301</v>
          </cell>
          <cell r="C28" t="str">
            <v>Firkin Whisky Company</v>
          </cell>
          <cell r="D28" t="str">
            <v>Firkin Rare Teaninich 2010 Custom cask Tawny Port</v>
          </cell>
          <cell r="F28" t="str">
            <v>Skottland</v>
          </cell>
          <cell r="G28" t="str">
            <v>Single Malt Whisky</v>
          </cell>
          <cell r="H28">
            <v>0.7</v>
          </cell>
          <cell r="I28">
            <v>48.9</v>
          </cell>
          <cell r="J28">
            <v>1750</v>
          </cell>
          <cell r="K28" t="str">
            <v>Daracha AS</v>
          </cell>
          <cell r="L28" t="str">
            <v>Best Global Logistics (Norway) AS</v>
          </cell>
          <cell r="M28">
            <v>60</v>
          </cell>
          <cell r="N28">
            <v>8</v>
          </cell>
          <cell r="O28">
            <v>8</v>
          </cell>
          <cell r="P28">
            <v>7</v>
          </cell>
          <cell r="Q28">
            <v>7</v>
          </cell>
          <cell r="R28">
            <v>8</v>
          </cell>
          <cell r="S28">
            <v>8</v>
          </cell>
          <cell r="T28">
            <v>7</v>
          </cell>
          <cell r="U28">
            <v>7</v>
          </cell>
          <cell r="W28">
            <v>1</v>
          </cell>
        </row>
        <row r="29">
          <cell r="B29">
            <v>18820201</v>
          </cell>
          <cell r="C29" t="str">
            <v>Brave New Spirits</v>
          </cell>
          <cell r="D29" t="str">
            <v>Brave New Spirits Whisky Heroes The Haunting Songs</v>
          </cell>
          <cell r="F29" t="str">
            <v>Skottland</v>
          </cell>
          <cell r="G29" t="str">
            <v>Single Malt Whisky</v>
          </cell>
          <cell r="H29">
            <v>0.7</v>
          </cell>
          <cell r="I29">
            <v>51.6</v>
          </cell>
          <cell r="J29">
            <v>1499</v>
          </cell>
          <cell r="K29" t="str">
            <v>Daracha AS</v>
          </cell>
          <cell r="L29" t="str">
            <v>Best Global Logistics (Norway) AS</v>
          </cell>
          <cell r="M29">
            <v>120</v>
          </cell>
          <cell r="N29">
            <v>14</v>
          </cell>
          <cell r="O29">
            <v>14</v>
          </cell>
          <cell r="P29">
            <v>14</v>
          </cell>
          <cell r="Q29">
            <v>14</v>
          </cell>
          <cell r="R29">
            <v>14</v>
          </cell>
          <cell r="S29">
            <v>14</v>
          </cell>
          <cell r="T29">
            <v>14</v>
          </cell>
          <cell r="U29">
            <v>14</v>
          </cell>
          <cell r="V29">
            <v>8</v>
          </cell>
          <cell r="W29">
            <v>1</v>
          </cell>
        </row>
        <row r="30">
          <cell r="B30">
            <v>18820101</v>
          </cell>
          <cell r="C30" t="str">
            <v>Brave New Spirits</v>
          </cell>
          <cell r="D30" t="str">
            <v>Brave New Spirits Whisky of Voodoo The High Priest</v>
          </cell>
          <cell r="F30" t="str">
            <v>Skottland</v>
          </cell>
          <cell r="G30" t="str">
            <v>Single Malt Whisky</v>
          </cell>
          <cell r="H30">
            <v>0.7</v>
          </cell>
          <cell r="I30">
            <v>52.6</v>
          </cell>
          <cell r="J30">
            <v>1495</v>
          </cell>
          <cell r="K30" t="str">
            <v>Daracha AS</v>
          </cell>
          <cell r="L30" t="str">
            <v>Best Global Logistics (Norway) AS</v>
          </cell>
          <cell r="M30">
            <v>90</v>
          </cell>
          <cell r="N30">
            <v>10</v>
          </cell>
          <cell r="O30">
            <v>10</v>
          </cell>
          <cell r="P30">
            <v>10</v>
          </cell>
          <cell r="Q30">
            <v>10</v>
          </cell>
          <cell r="R30">
            <v>10</v>
          </cell>
          <cell r="S30">
            <v>10</v>
          </cell>
          <cell r="T30">
            <v>10</v>
          </cell>
          <cell r="U30">
            <v>10</v>
          </cell>
          <cell r="V30">
            <v>10</v>
          </cell>
          <cell r="W30">
            <v>1</v>
          </cell>
        </row>
        <row r="31">
          <cell r="B31">
            <v>18732501</v>
          </cell>
          <cell r="C31" t="str">
            <v>Diageo</v>
          </cell>
          <cell r="D31" t="str">
            <v>Singleton of
Glen Ord 14Y
70cl SR F25</v>
          </cell>
          <cell r="F31" t="str">
            <v>Scottland</v>
          </cell>
          <cell r="G31" t="str">
            <v>Single Malt Whisky</v>
          </cell>
          <cell r="H31">
            <v>0.7</v>
          </cell>
          <cell r="I31">
            <v>54.7</v>
          </cell>
          <cell r="J31">
            <v>1799.9</v>
          </cell>
          <cell r="K31" t="str">
            <v>Engelstad Spirits AS</v>
          </cell>
          <cell r="L31" t="str">
            <v>Cuveco AS</v>
          </cell>
          <cell r="M31">
            <v>100</v>
          </cell>
          <cell r="N31">
            <v>12</v>
          </cell>
          <cell r="O31">
            <v>12</v>
          </cell>
          <cell r="P31">
            <v>10</v>
          </cell>
          <cell r="Q31">
            <v>10</v>
          </cell>
          <cell r="R31">
            <v>12</v>
          </cell>
          <cell r="S31">
            <v>12</v>
          </cell>
          <cell r="T31">
            <v>10</v>
          </cell>
          <cell r="U31">
            <v>12</v>
          </cell>
          <cell r="V31">
            <v>10</v>
          </cell>
          <cell r="W31">
            <v>1</v>
          </cell>
        </row>
        <row r="32">
          <cell r="B32">
            <v>18733101</v>
          </cell>
          <cell r="C32" t="str">
            <v>Diageo</v>
          </cell>
          <cell r="D32" t="str">
            <v>Talisker 8Y
70cl SR F25</v>
          </cell>
          <cell r="F32" t="str">
            <v>Scottland</v>
          </cell>
          <cell r="G32" t="str">
            <v>Single Malt Whisky</v>
          </cell>
          <cell r="H32">
            <v>0.7</v>
          </cell>
          <cell r="I32">
            <v>58.7</v>
          </cell>
          <cell r="J32">
            <v>1399.9</v>
          </cell>
          <cell r="K32" t="str">
            <v>Engelstad Spirits AS</v>
          </cell>
          <cell r="L32" t="str">
            <v>Cuveco AS</v>
          </cell>
          <cell r="M32">
            <v>150</v>
          </cell>
          <cell r="N32">
            <v>12</v>
          </cell>
          <cell r="O32">
            <v>12</v>
          </cell>
          <cell r="P32">
            <v>12</v>
          </cell>
          <cell r="Q32">
            <v>12</v>
          </cell>
          <cell r="R32">
            <v>12</v>
          </cell>
          <cell r="S32">
            <v>12</v>
          </cell>
          <cell r="T32">
            <v>12</v>
          </cell>
          <cell r="U32">
            <v>12</v>
          </cell>
          <cell r="V32">
            <v>54</v>
          </cell>
          <cell r="W32">
            <v>1</v>
          </cell>
        </row>
        <row r="33">
          <cell r="B33">
            <v>18732801</v>
          </cell>
          <cell r="C33" t="str">
            <v>Diageo</v>
          </cell>
          <cell r="D33" t="str">
            <v>Lagavulin 12Y 
70cl SR F25</v>
          </cell>
          <cell r="F33" t="str">
            <v>Scottland</v>
          </cell>
          <cell r="G33" t="str">
            <v>Single Malt Whisky</v>
          </cell>
          <cell r="H33">
            <v>0.7</v>
          </cell>
          <cell r="I33">
            <v>57.4</v>
          </cell>
          <cell r="J33">
            <v>1999.9</v>
          </cell>
          <cell r="K33" t="str">
            <v>Engelstad Spirits AS</v>
          </cell>
          <cell r="L33" t="str">
            <v>Cuveco AS</v>
          </cell>
          <cell r="M33">
            <v>150</v>
          </cell>
          <cell r="N33">
            <v>12</v>
          </cell>
          <cell r="O33">
            <v>12</v>
          </cell>
          <cell r="P33">
            <v>12</v>
          </cell>
          <cell r="Q33">
            <v>12</v>
          </cell>
          <cell r="R33">
            <v>12</v>
          </cell>
          <cell r="S33">
            <v>12</v>
          </cell>
          <cell r="T33">
            <v>12</v>
          </cell>
          <cell r="U33">
            <v>12</v>
          </cell>
          <cell r="V33">
            <v>54</v>
          </cell>
          <cell r="W33">
            <v>1</v>
          </cell>
        </row>
        <row r="34">
          <cell r="B34">
            <v>18732601</v>
          </cell>
          <cell r="C34" t="str">
            <v>Diageo</v>
          </cell>
          <cell r="D34" t="str">
            <v>Benrinnes 21Y
70cl SR F25</v>
          </cell>
          <cell r="F34" t="str">
            <v>Scottland</v>
          </cell>
          <cell r="G34" t="str">
            <v>Single Malt Whisky</v>
          </cell>
          <cell r="H34">
            <v>0.7</v>
          </cell>
          <cell r="I34">
            <v>55.4</v>
          </cell>
          <cell r="J34">
            <v>4999.8999999999996</v>
          </cell>
          <cell r="K34" t="str">
            <v>Engelstad Spirits AS</v>
          </cell>
          <cell r="L34" t="str">
            <v>Cuveco AS</v>
          </cell>
          <cell r="M34">
            <v>24</v>
          </cell>
          <cell r="N34">
            <v>4</v>
          </cell>
          <cell r="O34">
            <v>3</v>
          </cell>
          <cell r="P34">
            <v>3</v>
          </cell>
          <cell r="Q34">
            <v>3</v>
          </cell>
          <cell r="R34">
            <v>3</v>
          </cell>
          <cell r="S34">
            <v>2</v>
          </cell>
          <cell r="T34">
            <v>3</v>
          </cell>
          <cell r="U34">
            <v>3</v>
          </cell>
          <cell r="W34">
            <v>1</v>
          </cell>
        </row>
        <row r="35">
          <cell r="B35">
            <v>18732701</v>
          </cell>
          <cell r="C35" t="str">
            <v>Diageo</v>
          </cell>
          <cell r="D35" t="str">
            <v>Oban 10Y
70cl SR F25</v>
          </cell>
          <cell r="F35" t="str">
            <v>Scottland</v>
          </cell>
          <cell r="G35" t="str">
            <v>Single Malt Whisky</v>
          </cell>
          <cell r="H35">
            <v>0.7</v>
          </cell>
          <cell r="I35">
            <v>58</v>
          </cell>
          <cell r="J35">
            <v>1499.9</v>
          </cell>
          <cell r="K35" t="str">
            <v>Engelstad Spirits AS</v>
          </cell>
          <cell r="L35" t="str">
            <v>Cuveco AS</v>
          </cell>
          <cell r="M35">
            <v>48</v>
          </cell>
          <cell r="N35">
            <v>6</v>
          </cell>
          <cell r="O35">
            <v>6</v>
          </cell>
          <cell r="P35">
            <v>6</v>
          </cell>
          <cell r="Q35">
            <v>6</v>
          </cell>
          <cell r="R35">
            <v>6</v>
          </cell>
          <cell r="S35">
            <v>6</v>
          </cell>
          <cell r="T35">
            <v>6</v>
          </cell>
          <cell r="U35">
            <v>6</v>
          </cell>
          <cell r="W35">
            <v>1</v>
          </cell>
        </row>
        <row r="36">
          <cell r="B36">
            <v>18733001</v>
          </cell>
          <cell r="C36" t="str">
            <v>Diageo</v>
          </cell>
          <cell r="D36" t="str">
            <v>Roseisle 12Y 70cl SR F25</v>
          </cell>
          <cell r="F36" t="str">
            <v>Scottland</v>
          </cell>
          <cell r="G36" t="str">
            <v>Single Malt Whisky</v>
          </cell>
          <cell r="H36">
            <v>0.7</v>
          </cell>
          <cell r="I36">
            <v>55.6</v>
          </cell>
          <cell r="J36">
            <v>1699.9</v>
          </cell>
          <cell r="K36" t="str">
            <v>Engelstad Spirits AS</v>
          </cell>
          <cell r="L36" t="str">
            <v>Cuveco AS</v>
          </cell>
          <cell r="M36">
            <v>186</v>
          </cell>
          <cell r="N36">
            <v>24</v>
          </cell>
          <cell r="O36">
            <v>20</v>
          </cell>
          <cell r="P36">
            <v>20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20</v>
          </cell>
          <cell r="V36">
            <v>22</v>
          </cell>
          <cell r="W36">
            <v>1</v>
          </cell>
        </row>
        <row r="37">
          <cell r="B37">
            <v>18732901</v>
          </cell>
          <cell r="C37" t="str">
            <v>Diageo</v>
          </cell>
          <cell r="D37" t="str">
            <v>Caol Ila 11Y 70cl SR F25</v>
          </cell>
          <cell r="F37" t="str">
            <v>Scottland</v>
          </cell>
          <cell r="G37" t="str">
            <v>Single Malt Whisky</v>
          </cell>
          <cell r="H37">
            <v>0.7</v>
          </cell>
          <cell r="I37">
            <v>57.3</v>
          </cell>
          <cell r="J37">
            <v>1399.9</v>
          </cell>
          <cell r="K37" t="str">
            <v>Engelstad Spirits AS</v>
          </cell>
          <cell r="L37" t="str">
            <v>Cuveco AS</v>
          </cell>
          <cell r="M37">
            <v>84</v>
          </cell>
          <cell r="N37">
            <v>9</v>
          </cell>
          <cell r="O37">
            <v>9</v>
          </cell>
          <cell r="P37">
            <v>9</v>
          </cell>
          <cell r="Q37">
            <v>9</v>
          </cell>
          <cell r="R37">
            <v>9</v>
          </cell>
          <cell r="S37">
            <v>9</v>
          </cell>
          <cell r="T37">
            <v>9</v>
          </cell>
          <cell r="U37">
            <v>9</v>
          </cell>
          <cell r="V37">
            <v>12</v>
          </cell>
          <cell r="W37">
            <v>1</v>
          </cell>
        </row>
        <row r="38">
          <cell r="B38">
            <v>18741501</v>
          </cell>
          <cell r="C38" t="str">
            <v>Christian Drouin</v>
          </cell>
          <cell r="D38" t="str">
            <v>Gin Pira</v>
          </cell>
          <cell r="F38" t="str">
            <v>Frankrike</v>
          </cell>
          <cell r="G38" t="str">
            <v>Gin</v>
          </cell>
          <cell r="H38">
            <v>0.7</v>
          </cell>
          <cell r="I38">
            <v>42</v>
          </cell>
          <cell r="J38">
            <v>619.6</v>
          </cell>
          <cell r="K38" t="str">
            <v>Engelstad Spirits AS</v>
          </cell>
          <cell r="L38" t="str">
            <v>Cuveco AS</v>
          </cell>
          <cell r="M38">
            <v>96</v>
          </cell>
          <cell r="N38">
            <v>12</v>
          </cell>
          <cell r="O38">
            <v>12</v>
          </cell>
          <cell r="P38">
            <v>12</v>
          </cell>
          <cell r="Q38">
            <v>12</v>
          </cell>
          <cell r="R38">
            <v>12</v>
          </cell>
          <cell r="S38">
            <v>12</v>
          </cell>
          <cell r="T38">
            <v>12</v>
          </cell>
          <cell r="U38">
            <v>12</v>
          </cell>
          <cell r="W38">
            <v>1</v>
          </cell>
        </row>
        <row r="39">
          <cell r="B39">
            <v>18760201</v>
          </cell>
          <cell r="C39" t="str">
            <v>Masion Boinaud</v>
          </cell>
          <cell r="D39" t="str">
            <v>Heriose Pineau des Charante Cask</v>
          </cell>
          <cell r="F39" t="str">
            <v>Frankrike</v>
          </cell>
          <cell r="G39" t="str">
            <v>Single Malt Whisky</v>
          </cell>
          <cell r="H39">
            <v>0.7</v>
          </cell>
          <cell r="I39">
            <v>43</v>
          </cell>
          <cell r="J39">
            <v>899.9</v>
          </cell>
          <cell r="K39" t="str">
            <v>Engelstad Spirits AS</v>
          </cell>
          <cell r="L39" t="str">
            <v>Cuveco AS</v>
          </cell>
          <cell r="M39">
            <v>48</v>
          </cell>
          <cell r="N39">
            <v>6</v>
          </cell>
          <cell r="O39">
            <v>6</v>
          </cell>
          <cell r="P39">
            <v>6</v>
          </cell>
          <cell r="Q39">
            <v>6</v>
          </cell>
          <cell r="R39">
            <v>6</v>
          </cell>
          <cell r="S39">
            <v>6</v>
          </cell>
          <cell r="T39">
            <v>6</v>
          </cell>
          <cell r="U39">
            <v>6</v>
          </cell>
          <cell r="W39">
            <v>1</v>
          </cell>
        </row>
        <row r="40">
          <cell r="B40">
            <v>18820001</v>
          </cell>
          <cell r="C40" t="str">
            <v>GlenAllachie</v>
          </cell>
          <cell r="D40" t="str">
            <v>Meikle Tòir The Sherry One</v>
          </cell>
          <cell r="F40" t="str">
            <v>Skottland</v>
          </cell>
          <cell r="G40" t="str">
            <v>Single Malt Whisky</v>
          </cell>
          <cell r="H40">
            <v>0.7</v>
          </cell>
          <cell r="I40">
            <v>48</v>
          </cell>
          <cell r="J40">
            <v>979.9</v>
          </cell>
          <cell r="K40" t="str">
            <v>Cask AS</v>
          </cell>
          <cell r="L40" t="str">
            <v>Skanlog AS</v>
          </cell>
          <cell r="M40">
            <v>48</v>
          </cell>
          <cell r="N40">
            <v>6</v>
          </cell>
          <cell r="O40">
            <v>6</v>
          </cell>
          <cell r="P40">
            <v>6</v>
          </cell>
          <cell r="Q40">
            <v>6</v>
          </cell>
          <cell r="R40">
            <v>6</v>
          </cell>
          <cell r="S40">
            <v>6</v>
          </cell>
          <cell r="T40">
            <v>6</v>
          </cell>
          <cell r="U40">
            <v>6</v>
          </cell>
          <cell r="W40">
            <v>1</v>
          </cell>
        </row>
        <row r="41">
          <cell r="B41">
            <v>18819901</v>
          </cell>
          <cell r="C41" t="str">
            <v>GlenAllachie</v>
          </cell>
          <cell r="D41" t="str">
            <v>Meikle Toir The Chinquapin 5yo</v>
          </cell>
          <cell r="F41" t="str">
            <v>Skottland</v>
          </cell>
          <cell r="G41" t="str">
            <v>Single Malt Whisky</v>
          </cell>
          <cell r="H41">
            <v>0.7</v>
          </cell>
          <cell r="I41">
            <v>48</v>
          </cell>
          <cell r="J41">
            <v>979.9</v>
          </cell>
          <cell r="K41" t="str">
            <v>Cask AS</v>
          </cell>
          <cell r="L41" t="str">
            <v>Skanlog AS</v>
          </cell>
          <cell r="M41">
            <v>48</v>
          </cell>
          <cell r="N41">
            <v>6</v>
          </cell>
          <cell r="O41">
            <v>6</v>
          </cell>
          <cell r="P41">
            <v>6</v>
          </cell>
          <cell r="Q41">
            <v>6</v>
          </cell>
          <cell r="R41">
            <v>6</v>
          </cell>
          <cell r="S41">
            <v>6</v>
          </cell>
          <cell r="T41">
            <v>6</v>
          </cell>
          <cell r="U41">
            <v>6</v>
          </cell>
          <cell r="W41">
            <v>1</v>
          </cell>
        </row>
        <row r="42">
          <cell r="B42">
            <v>6830501</v>
          </cell>
          <cell r="C42" t="str">
            <v>J&amp;G Grant</v>
          </cell>
          <cell r="D42" t="str">
            <v>Glenfarclas 30 YO</v>
          </cell>
          <cell r="F42" t="str">
            <v>Skottland</v>
          </cell>
          <cell r="G42" t="str">
            <v>Single Malt Whisky</v>
          </cell>
          <cell r="H42">
            <v>0.7</v>
          </cell>
          <cell r="I42">
            <v>43</v>
          </cell>
          <cell r="J42">
            <v>6499</v>
          </cell>
          <cell r="K42" t="str">
            <v>Moestue Grape Selections AS</v>
          </cell>
          <cell r="L42" t="str">
            <v>Skanlog AS</v>
          </cell>
          <cell r="M42">
            <v>48</v>
          </cell>
          <cell r="N42">
            <v>6</v>
          </cell>
          <cell r="O42">
            <v>6</v>
          </cell>
          <cell r="P42">
            <v>6</v>
          </cell>
          <cell r="Q42">
            <v>6</v>
          </cell>
          <cell r="R42">
            <v>6</v>
          </cell>
          <cell r="S42">
            <v>6</v>
          </cell>
          <cell r="T42">
            <v>6</v>
          </cell>
          <cell r="U42">
            <v>6</v>
          </cell>
          <cell r="W42">
            <v>1</v>
          </cell>
        </row>
        <row r="43">
          <cell r="B43">
            <v>18760501</v>
          </cell>
          <cell r="C43" t="str">
            <v>J&amp;G Grant</v>
          </cell>
          <cell r="D43" t="str">
            <v>Glenfarclas Family Casks 2005 Cask #3034</v>
          </cell>
          <cell r="F43" t="str">
            <v>Skottland</v>
          </cell>
          <cell r="G43" t="str">
            <v>Single Malt Whisky</v>
          </cell>
          <cell r="H43">
            <v>0.7</v>
          </cell>
          <cell r="I43">
            <v>59.6</v>
          </cell>
          <cell r="J43">
            <v>2980</v>
          </cell>
          <cell r="K43" t="str">
            <v>Moestue Grape Selections AS</v>
          </cell>
          <cell r="L43" t="str">
            <v>Skanlog AS</v>
          </cell>
          <cell r="M43">
            <v>48</v>
          </cell>
          <cell r="N43">
            <v>6</v>
          </cell>
          <cell r="O43">
            <v>6</v>
          </cell>
          <cell r="P43">
            <v>6</v>
          </cell>
          <cell r="Q43">
            <v>6</v>
          </cell>
          <cell r="R43">
            <v>6</v>
          </cell>
          <cell r="S43">
            <v>6</v>
          </cell>
          <cell r="T43">
            <v>6</v>
          </cell>
          <cell r="U43">
            <v>6</v>
          </cell>
          <cell r="W43">
            <v>1</v>
          </cell>
        </row>
        <row r="44">
          <cell r="B44">
            <v>18760701</v>
          </cell>
          <cell r="C44" t="str">
            <v>Château de Lacquy</v>
          </cell>
          <cell r="D44" t="str">
            <v>Château de Lacquy Bas-Armagnac 17 ans</v>
          </cell>
          <cell r="F44" t="str">
            <v>Frankrike</v>
          </cell>
          <cell r="G44" t="str">
            <v>Bas-Armagnac</v>
          </cell>
          <cell r="H44">
            <v>0.7</v>
          </cell>
          <cell r="I44">
            <v>43.5</v>
          </cell>
          <cell r="J44">
            <v>1470</v>
          </cell>
          <cell r="K44" t="str">
            <v>Moestue Grape Selections AS</v>
          </cell>
          <cell r="L44" t="str">
            <v>Skanlog AS</v>
          </cell>
          <cell r="M44">
            <v>48</v>
          </cell>
          <cell r="N44">
            <v>6</v>
          </cell>
          <cell r="O44">
            <v>6</v>
          </cell>
          <cell r="P44">
            <v>6</v>
          </cell>
          <cell r="Q44">
            <v>6</v>
          </cell>
          <cell r="R44">
            <v>6</v>
          </cell>
          <cell r="S44">
            <v>6</v>
          </cell>
          <cell r="T44">
            <v>6</v>
          </cell>
          <cell r="U44">
            <v>6</v>
          </cell>
          <cell r="W44">
            <v>1</v>
          </cell>
        </row>
        <row r="45">
          <cell r="B45">
            <v>18760801</v>
          </cell>
          <cell r="C45" t="str">
            <v>Château de Lacquy</v>
          </cell>
          <cell r="D45" t="str">
            <v>Château de Lacquy Bas-Armagnac 21 ans</v>
          </cell>
          <cell r="F45" t="str">
            <v>Frankrike</v>
          </cell>
          <cell r="G45" t="str">
            <v>Bas-Armagnac</v>
          </cell>
          <cell r="H45">
            <v>0.7</v>
          </cell>
          <cell r="I45">
            <v>43.5</v>
          </cell>
          <cell r="J45">
            <v>1680</v>
          </cell>
          <cell r="K45" t="str">
            <v>Moestue Grape Selections AS</v>
          </cell>
          <cell r="L45" t="str">
            <v>Skanlog AS</v>
          </cell>
          <cell r="M45">
            <v>48</v>
          </cell>
          <cell r="N45">
            <v>6</v>
          </cell>
          <cell r="O45">
            <v>6</v>
          </cell>
          <cell r="P45">
            <v>6</v>
          </cell>
          <cell r="Q45">
            <v>6</v>
          </cell>
          <cell r="R45">
            <v>6</v>
          </cell>
          <cell r="S45">
            <v>6</v>
          </cell>
          <cell r="T45">
            <v>6</v>
          </cell>
          <cell r="U45">
            <v>6</v>
          </cell>
          <cell r="W45">
            <v>1</v>
          </cell>
        </row>
        <row r="46">
          <cell r="B46">
            <v>17322401</v>
          </cell>
          <cell r="C46" t="str">
            <v>Bruichladdich Distillery</v>
          </cell>
          <cell r="D46" t="str">
            <v>Bruichladdich 30YO</v>
          </cell>
          <cell r="F46" t="str">
            <v>Skottland</v>
          </cell>
          <cell r="G46" t="str">
            <v>Single Malt Whisky</v>
          </cell>
          <cell r="H46">
            <v>0.7</v>
          </cell>
          <cell r="I46">
            <v>43</v>
          </cell>
          <cell r="J46">
            <v>16049.9</v>
          </cell>
          <cell r="K46" t="str">
            <v>Robert Prizelius AS</v>
          </cell>
          <cell r="L46" t="str">
            <v>Vectura AS</v>
          </cell>
          <cell r="M46">
            <v>8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</row>
        <row r="47">
          <cell r="B47">
            <v>17322501</v>
          </cell>
          <cell r="C47" t="str">
            <v>Bruichladdich Distillery</v>
          </cell>
          <cell r="D47" t="str">
            <v>Bruichladdich 18 YO</v>
          </cell>
          <cell r="F47" t="str">
            <v>Skottland</v>
          </cell>
          <cell r="G47" t="str">
            <v>Single Malt Whisky</v>
          </cell>
          <cell r="H47">
            <v>0.7</v>
          </cell>
          <cell r="I47">
            <v>50</v>
          </cell>
          <cell r="J47">
            <v>1849.9</v>
          </cell>
          <cell r="K47" t="str">
            <v>Robert Prizelius AS</v>
          </cell>
          <cell r="L47" t="str">
            <v>Vectura AS</v>
          </cell>
          <cell r="M47">
            <v>204</v>
          </cell>
          <cell r="N47">
            <v>24</v>
          </cell>
          <cell r="O47">
            <v>22</v>
          </cell>
          <cell r="P47">
            <v>22</v>
          </cell>
          <cell r="Q47">
            <v>22</v>
          </cell>
          <cell r="R47">
            <v>22</v>
          </cell>
          <cell r="S47">
            <v>22</v>
          </cell>
          <cell r="T47">
            <v>22</v>
          </cell>
          <cell r="U47">
            <v>22</v>
          </cell>
          <cell r="V47">
            <v>26</v>
          </cell>
          <cell r="W47">
            <v>1</v>
          </cell>
        </row>
        <row r="48">
          <cell r="B48">
            <v>18740501</v>
          </cell>
          <cell r="C48" t="str">
            <v>Kentucky Owl LLC</v>
          </cell>
          <cell r="D48" t="str">
            <v>Kentucky Owl Takumi</v>
          </cell>
          <cell r="F48" t="str">
            <v>USA</v>
          </cell>
          <cell r="G48" t="str">
            <v>Bourbon</v>
          </cell>
          <cell r="H48">
            <v>0.7</v>
          </cell>
          <cell r="I48">
            <v>50</v>
          </cell>
          <cell r="J48">
            <v>1849.9</v>
          </cell>
          <cell r="K48" t="str">
            <v>Robert Prizelius AS</v>
          </cell>
          <cell r="L48" t="str">
            <v>Vectura AS</v>
          </cell>
          <cell r="M48">
            <v>96</v>
          </cell>
          <cell r="N48">
            <v>12</v>
          </cell>
          <cell r="O48">
            <v>12</v>
          </cell>
          <cell r="P48">
            <v>12</v>
          </cell>
          <cell r="Q48">
            <v>12</v>
          </cell>
          <cell r="R48">
            <v>12</v>
          </cell>
          <cell r="S48">
            <v>12</v>
          </cell>
          <cell r="T48">
            <v>12</v>
          </cell>
          <cell r="U48">
            <v>12</v>
          </cell>
          <cell r="W48">
            <v>1</v>
          </cell>
        </row>
        <row r="49">
          <cell r="B49">
            <v>18740601</v>
          </cell>
          <cell r="C49" t="str">
            <v>Kentucky Owl LLC</v>
          </cell>
          <cell r="D49" t="str">
            <v>Kentucky Owl Maighstir</v>
          </cell>
          <cell r="F49" t="str">
            <v>USA</v>
          </cell>
          <cell r="G49" t="str">
            <v>Bourbon</v>
          </cell>
          <cell r="H49">
            <v>0.7</v>
          </cell>
          <cell r="I49">
            <v>50</v>
          </cell>
          <cell r="J49">
            <v>1849.9</v>
          </cell>
          <cell r="K49" t="str">
            <v>Robert Prizelius AS</v>
          </cell>
          <cell r="L49" t="str">
            <v>Vectura AS</v>
          </cell>
          <cell r="M49">
            <v>96</v>
          </cell>
          <cell r="N49">
            <v>12</v>
          </cell>
          <cell r="O49">
            <v>12</v>
          </cell>
          <cell r="P49">
            <v>12</v>
          </cell>
          <cell r="Q49">
            <v>12</v>
          </cell>
          <cell r="R49">
            <v>12</v>
          </cell>
          <cell r="S49">
            <v>12</v>
          </cell>
          <cell r="T49">
            <v>12</v>
          </cell>
          <cell r="U49">
            <v>12</v>
          </cell>
          <cell r="W49">
            <v>1</v>
          </cell>
        </row>
        <row r="50">
          <cell r="B50">
            <v>18728501</v>
          </cell>
          <cell r="C50" t="str">
            <v>Pisoni</v>
          </cell>
          <cell r="D50" t="str">
            <v>Amarone Grappa</v>
          </cell>
          <cell r="F50" t="str">
            <v>Italia</v>
          </cell>
          <cell r="G50" t="str">
            <v>Grappa</v>
          </cell>
          <cell r="H50">
            <v>0.7</v>
          </cell>
          <cell r="I50">
            <v>45</v>
          </cell>
          <cell r="J50">
            <v>849.5</v>
          </cell>
          <cell r="K50" t="str">
            <v>Selected Wine Partners AS</v>
          </cell>
          <cell r="L50" t="str">
            <v>Cuveco AS</v>
          </cell>
          <cell r="M50">
            <v>48</v>
          </cell>
          <cell r="N50">
            <v>6</v>
          </cell>
          <cell r="O50">
            <v>6</v>
          </cell>
          <cell r="P50">
            <v>6</v>
          </cell>
          <cell r="Q50">
            <v>6</v>
          </cell>
          <cell r="R50">
            <v>6</v>
          </cell>
          <cell r="S50">
            <v>6</v>
          </cell>
          <cell r="T50">
            <v>6</v>
          </cell>
          <cell r="U50">
            <v>6</v>
          </cell>
        </row>
        <row r="51">
          <cell r="B51">
            <v>12788001</v>
          </cell>
          <cell r="C51" t="str">
            <v>Chivas Brothers Limited / The Glenlivet Distillery</v>
          </cell>
          <cell r="D51" t="str">
            <v>The Glenlivet 21YO Triple Cask Finish First Fill</v>
          </cell>
          <cell r="F51" t="str">
            <v>Skottland</v>
          </cell>
          <cell r="G51" t="str">
            <v>Single Malt Whisky</v>
          </cell>
          <cell r="H51">
            <v>0.7</v>
          </cell>
          <cell r="I51">
            <v>43</v>
          </cell>
          <cell r="J51">
            <v>2249</v>
          </cell>
          <cell r="K51" t="str">
            <v>Pernod Ricard Norway AS</v>
          </cell>
          <cell r="L51" t="str">
            <v>Skanlog AS</v>
          </cell>
          <cell r="M51">
            <v>60</v>
          </cell>
          <cell r="N51">
            <v>8</v>
          </cell>
          <cell r="O51">
            <v>8</v>
          </cell>
          <cell r="P51">
            <v>6</v>
          </cell>
          <cell r="Q51">
            <v>6</v>
          </cell>
          <cell r="R51">
            <v>6</v>
          </cell>
          <cell r="S51">
            <v>6</v>
          </cell>
          <cell r="T51">
            <v>6</v>
          </cell>
          <cell r="U51">
            <v>6</v>
          </cell>
          <cell r="V51">
            <v>8</v>
          </cell>
        </row>
        <row r="52">
          <cell r="B52">
            <v>18735401</v>
          </cell>
          <cell r="C52" t="str">
            <v>Irish Distillers Ltd / Midleton Distillery</v>
          </cell>
          <cell r="D52" t="str">
            <v>Redbreast Pedro Ximenez Edition Single Pot Still Irish Whiskey</v>
          </cell>
          <cell r="F52" t="str">
            <v>Irland</v>
          </cell>
          <cell r="G52" t="str">
            <v>Single Pot Still Whiskey</v>
          </cell>
          <cell r="H52">
            <v>0.7</v>
          </cell>
          <cell r="I52">
            <v>46</v>
          </cell>
          <cell r="J52">
            <v>849</v>
          </cell>
          <cell r="K52" t="str">
            <v>Pernod Ricard Norway AS</v>
          </cell>
          <cell r="L52" t="str">
            <v>Skanlog AS</v>
          </cell>
          <cell r="M52">
            <v>192</v>
          </cell>
          <cell r="N52">
            <v>22</v>
          </cell>
          <cell r="O52">
            <v>21</v>
          </cell>
          <cell r="P52">
            <v>21</v>
          </cell>
          <cell r="Q52">
            <v>21</v>
          </cell>
          <cell r="R52">
            <v>20</v>
          </cell>
          <cell r="S52">
            <v>21</v>
          </cell>
          <cell r="T52">
            <v>21</v>
          </cell>
          <cell r="U52">
            <v>21</v>
          </cell>
          <cell r="V52">
            <v>24</v>
          </cell>
          <cell r="W52">
            <v>1</v>
          </cell>
        </row>
        <row r="53">
          <cell r="B53">
            <v>18735101</v>
          </cell>
          <cell r="C53" t="str">
            <v>Four Roses Distillery</v>
          </cell>
          <cell r="D53" t="str">
            <v>Four Roses Small Batch 2024 Release</v>
          </cell>
          <cell r="E53">
            <v>2024</v>
          </cell>
          <cell r="F53" t="str">
            <v>USA</v>
          </cell>
          <cell r="G53" t="str">
            <v>Bourbon</v>
          </cell>
          <cell r="H53">
            <v>0.7</v>
          </cell>
          <cell r="I53">
            <v>54.1</v>
          </cell>
          <cell r="J53">
            <v>2399</v>
          </cell>
          <cell r="K53" t="str">
            <v>Pernod Ricard Norway AS</v>
          </cell>
          <cell r="L53" t="str">
            <v>Skanlog AS</v>
          </cell>
          <cell r="M53">
            <v>240</v>
          </cell>
          <cell r="N53">
            <v>24</v>
          </cell>
          <cell r="O53">
            <v>24</v>
          </cell>
          <cell r="P53">
            <v>24</v>
          </cell>
          <cell r="Q53">
            <v>24</v>
          </cell>
          <cell r="R53">
            <v>24</v>
          </cell>
          <cell r="S53">
            <v>24</v>
          </cell>
          <cell r="T53">
            <v>24</v>
          </cell>
          <cell r="U53">
            <v>24</v>
          </cell>
          <cell r="V53">
            <v>48</v>
          </cell>
          <cell r="W53">
            <v>1</v>
          </cell>
        </row>
        <row r="54">
          <cell r="B54">
            <v>18735201</v>
          </cell>
          <cell r="C54" t="str">
            <v>Fuji Gotemba Distillery</v>
          </cell>
          <cell r="D54" t="str">
            <v>Fuji Single Malt Japanese Whisky</v>
          </cell>
          <cell r="F54" t="str">
            <v>Japan</v>
          </cell>
          <cell r="G54" t="str">
            <v>Single Malt Whisky</v>
          </cell>
          <cell r="H54">
            <v>0.7</v>
          </cell>
          <cell r="I54">
            <v>46</v>
          </cell>
          <cell r="J54">
            <v>1079</v>
          </cell>
          <cell r="K54" t="str">
            <v>Pernod Ricard Norway AS</v>
          </cell>
          <cell r="L54" t="str">
            <v>Skanlog AS</v>
          </cell>
          <cell r="M54">
            <v>108</v>
          </cell>
          <cell r="N54">
            <v>12</v>
          </cell>
          <cell r="O54">
            <v>12</v>
          </cell>
          <cell r="P54">
            <v>12</v>
          </cell>
          <cell r="Q54">
            <v>12</v>
          </cell>
          <cell r="R54">
            <v>12</v>
          </cell>
          <cell r="S54">
            <v>12</v>
          </cell>
          <cell r="T54">
            <v>12</v>
          </cell>
          <cell r="U54">
            <v>12</v>
          </cell>
          <cell r="V54">
            <v>12</v>
          </cell>
          <cell r="W54">
            <v>1</v>
          </cell>
        </row>
        <row r="55">
          <cell r="B55">
            <v>16613501</v>
          </cell>
          <cell r="C55" t="str">
            <v xml:space="preserve">Adelphi Dist. </v>
          </cell>
          <cell r="D55" t="str">
            <v>Ardnamurchan Sherry Cask Release</v>
          </cell>
          <cell r="F55" t="str">
            <v>Skottland</v>
          </cell>
          <cell r="G55" t="str">
            <v>Single Malt Whisky</v>
          </cell>
          <cell r="H55">
            <v>0.7</v>
          </cell>
          <cell r="I55">
            <v>50</v>
          </cell>
          <cell r="J55">
            <v>874.7</v>
          </cell>
          <cell r="K55" t="str">
            <v>Malt Norge AS</v>
          </cell>
          <cell r="L55" t="str">
            <v>Vectura AS</v>
          </cell>
          <cell r="M55">
            <v>30</v>
          </cell>
          <cell r="N55">
            <v>4</v>
          </cell>
          <cell r="O55">
            <v>3</v>
          </cell>
          <cell r="P55">
            <v>3</v>
          </cell>
          <cell r="Q55">
            <v>3</v>
          </cell>
          <cell r="R55">
            <v>3</v>
          </cell>
          <cell r="S55">
            <v>3</v>
          </cell>
          <cell r="T55">
            <v>3</v>
          </cell>
          <cell r="U55">
            <v>3</v>
          </cell>
          <cell r="V55">
            <v>5</v>
          </cell>
          <cell r="W55">
            <v>1</v>
          </cell>
        </row>
        <row r="56">
          <cell r="B56">
            <v>18802401</v>
          </cell>
          <cell r="C56" t="str">
            <v xml:space="preserve">Adelphi Dist. </v>
          </cell>
          <cell r="D56" t="str">
            <v>Adelphi Smögen 2013</v>
          </cell>
          <cell r="E56">
            <v>2013</v>
          </cell>
          <cell r="F56" t="str">
            <v>Skottland</v>
          </cell>
          <cell r="G56" t="str">
            <v>Single Malt Whisky</v>
          </cell>
          <cell r="H56">
            <v>0.7</v>
          </cell>
          <cell r="I56">
            <v>58.1</v>
          </cell>
          <cell r="J56">
            <v>2553.1</v>
          </cell>
          <cell r="K56" t="str">
            <v>Malt Norge AS</v>
          </cell>
          <cell r="L56" t="str">
            <v>Vectura AS</v>
          </cell>
          <cell r="M56">
            <v>16</v>
          </cell>
          <cell r="N56">
            <v>2</v>
          </cell>
          <cell r="O56">
            <v>2</v>
          </cell>
          <cell r="P56">
            <v>2</v>
          </cell>
          <cell r="Q56">
            <v>2</v>
          </cell>
          <cell r="R56">
            <v>2</v>
          </cell>
          <cell r="S56">
            <v>2</v>
          </cell>
          <cell r="T56">
            <v>2</v>
          </cell>
          <cell r="U56">
            <v>2</v>
          </cell>
        </row>
        <row r="57">
          <cell r="B57">
            <v>18802501</v>
          </cell>
          <cell r="C57" t="str">
            <v xml:space="preserve">Adelphi Dist. </v>
          </cell>
          <cell r="D57" t="str">
            <v>Adelphi Spirit of Yorkshire</v>
          </cell>
          <cell r="F57" t="str">
            <v>Skottland</v>
          </cell>
          <cell r="G57" t="str">
            <v>Single Malt Whisky</v>
          </cell>
          <cell r="H57">
            <v>0.7</v>
          </cell>
          <cell r="I57">
            <v>48</v>
          </cell>
          <cell r="J57">
            <v>1791.4</v>
          </cell>
          <cell r="K57" t="str">
            <v>Malt Norge AS</v>
          </cell>
          <cell r="L57" t="str">
            <v>Vectura AS</v>
          </cell>
          <cell r="M57">
            <v>10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</row>
        <row r="58">
          <cell r="B58">
            <v>18802301</v>
          </cell>
          <cell r="C58" t="str">
            <v xml:space="preserve">Adelphi Dist. </v>
          </cell>
          <cell r="D58" t="str">
            <v>Adelphi Bowmore</v>
          </cell>
          <cell r="E58">
            <v>1997</v>
          </cell>
          <cell r="F58" t="str">
            <v>Skottland</v>
          </cell>
          <cell r="G58" t="str">
            <v>Single Malt Whisky</v>
          </cell>
          <cell r="H58">
            <v>0.7</v>
          </cell>
          <cell r="I58">
            <v>55.5</v>
          </cell>
          <cell r="J58">
            <v>6105.8</v>
          </cell>
          <cell r="K58" t="str">
            <v>Malt Norge AS</v>
          </cell>
          <cell r="L58" t="str">
            <v>Vectura AS</v>
          </cell>
          <cell r="M58">
            <v>16</v>
          </cell>
          <cell r="N58">
            <v>2</v>
          </cell>
          <cell r="O58">
            <v>2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</row>
        <row r="59">
          <cell r="B59">
            <v>18804301</v>
          </cell>
          <cell r="C59" t="str">
            <v xml:space="preserve">Adelphi Dist. </v>
          </cell>
          <cell r="D59" t="str">
            <v>Laudale #6</v>
          </cell>
          <cell r="F59" t="str">
            <v>Skottland</v>
          </cell>
          <cell r="G59" t="str">
            <v>Single Malt Whisky</v>
          </cell>
          <cell r="H59">
            <v>0.7</v>
          </cell>
          <cell r="I59">
            <v>46</v>
          </cell>
          <cell r="J59">
            <v>1323.2</v>
          </cell>
          <cell r="K59" t="str">
            <v>Malt Norge AS</v>
          </cell>
          <cell r="L59" t="str">
            <v>Vectura AS</v>
          </cell>
          <cell r="M59">
            <v>11</v>
          </cell>
          <cell r="N59">
            <v>2</v>
          </cell>
          <cell r="O59">
            <v>2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2</v>
          </cell>
          <cell r="U59">
            <v>1</v>
          </cell>
        </row>
        <row r="60">
          <cell r="B60">
            <v>18803301</v>
          </cell>
          <cell r="C60" t="str">
            <v xml:space="preserve">Adelphi Dist. </v>
          </cell>
          <cell r="D60" t="str">
            <v>The Sändebud 6 YO</v>
          </cell>
          <cell r="F60" t="str">
            <v>Skottland</v>
          </cell>
          <cell r="G60" t="str">
            <v>Single Malt Whisky</v>
          </cell>
          <cell r="H60">
            <v>0.7</v>
          </cell>
          <cell r="I60">
            <v>58.9</v>
          </cell>
          <cell r="J60">
            <v>1565.8</v>
          </cell>
          <cell r="K60" t="str">
            <v>Malt Norge AS</v>
          </cell>
          <cell r="L60" t="str">
            <v>Vectura AS</v>
          </cell>
          <cell r="M60">
            <v>7</v>
          </cell>
          <cell r="N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</row>
        <row r="61">
          <cell r="B61">
            <v>18802901</v>
          </cell>
          <cell r="C61" t="str">
            <v xml:space="preserve">Adelphi Dist. </v>
          </cell>
          <cell r="D61" t="str">
            <v>Glenrothes 2007</v>
          </cell>
          <cell r="F61" t="str">
            <v>Skottland</v>
          </cell>
          <cell r="G61" t="str">
            <v>Single Malt Whisky</v>
          </cell>
          <cell r="H61">
            <v>0.7</v>
          </cell>
          <cell r="I61">
            <v>59.6</v>
          </cell>
          <cell r="J61">
            <v>1588.2</v>
          </cell>
          <cell r="K61" t="str">
            <v>Malt Norge AS</v>
          </cell>
          <cell r="L61" t="str">
            <v>Vectura AS</v>
          </cell>
          <cell r="M61">
            <v>5</v>
          </cell>
          <cell r="N61">
            <v>1</v>
          </cell>
          <cell r="O61">
            <v>1</v>
          </cell>
          <cell r="P61">
            <v>1</v>
          </cell>
          <cell r="S61">
            <v>1</v>
          </cell>
          <cell r="U61">
            <v>1</v>
          </cell>
        </row>
        <row r="62">
          <cell r="B62">
            <v>18803701</v>
          </cell>
          <cell r="C62" t="str">
            <v xml:space="preserve">Adelphi Dist. </v>
          </cell>
          <cell r="D62" t="str">
            <v>Inchgower 12</v>
          </cell>
          <cell r="F62" t="str">
            <v>Skottland</v>
          </cell>
          <cell r="G62" t="str">
            <v>Single Malt Whisky</v>
          </cell>
          <cell r="H62">
            <v>0.7</v>
          </cell>
          <cell r="I62">
            <v>57.4</v>
          </cell>
          <cell r="J62">
            <v>1486.3</v>
          </cell>
          <cell r="K62" t="str">
            <v>Malt Norge AS</v>
          </cell>
          <cell r="L62" t="str">
            <v>Vectura AS</v>
          </cell>
          <cell r="M62">
            <v>9</v>
          </cell>
          <cell r="N62">
            <v>2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</row>
        <row r="63">
          <cell r="B63">
            <v>18803001</v>
          </cell>
          <cell r="C63" t="str">
            <v xml:space="preserve">Adelphi Dist. </v>
          </cell>
          <cell r="D63" t="str">
            <v>Bunnahabhain 23 Yo</v>
          </cell>
          <cell r="F63" t="str">
            <v>Skottland</v>
          </cell>
          <cell r="G63" t="str">
            <v>Single Malt Whisky</v>
          </cell>
          <cell r="H63">
            <v>0.7</v>
          </cell>
          <cell r="I63">
            <v>53.4</v>
          </cell>
          <cell r="J63">
            <v>4437.5</v>
          </cell>
          <cell r="K63" t="str">
            <v>Malt Norge AS</v>
          </cell>
          <cell r="L63" t="str">
            <v>Vectura AS</v>
          </cell>
          <cell r="M63">
            <v>3</v>
          </cell>
          <cell r="N63">
            <v>1</v>
          </cell>
          <cell r="Q63">
            <v>1</v>
          </cell>
          <cell r="S63">
            <v>1</v>
          </cell>
        </row>
        <row r="64">
          <cell r="B64">
            <v>18803101</v>
          </cell>
          <cell r="C64" t="str">
            <v xml:space="preserve">Adelphi Dist. </v>
          </cell>
          <cell r="D64" t="str">
            <v>Fascadale (Higland Park 14)</v>
          </cell>
          <cell r="F64" t="str">
            <v>Skottland</v>
          </cell>
          <cell r="G64" t="str">
            <v>Single Malt Whisky</v>
          </cell>
          <cell r="H64">
            <v>0.7</v>
          </cell>
          <cell r="I64">
            <v>46</v>
          </cell>
          <cell r="J64">
            <v>1098</v>
          </cell>
          <cell r="K64" t="str">
            <v>Malt Norge AS</v>
          </cell>
          <cell r="L64" t="str">
            <v>Vectura AS</v>
          </cell>
          <cell r="M64">
            <v>5</v>
          </cell>
          <cell r="N64">
            <v>1</v>
          </cell>
          <cell r="O64">
            <v>1</v>
          </cell>
          <cell r="Q64">
            <v>1</v>
          </cell>
          <cell r="T64">
            <v>1</v>
          </cell>
          <cell r="U64">
            <v>1</v>
          </cell>
        </row>
        <row r="65">
          <cell r="B65">
            <v>18803201</v>
          </cell>
          <cell r="C65" t="str">
            <v xml:space="preserve">Adelphi Dist. </v>
          </cell>
          <cell r="D65" t="str">
            <v>The Glover</v>
          </cell>
          <cell r="F65" t="str">
            <v>Skottland</v>
          </cell>
          <cell r="G65" t="str">
            <v>Single Malt Whisky</v>
          </cell>
          <cell r="H65">
            <v>0.7</v>
          </cell>
          <cell r="I65">
            <v>57.6</v>
          </cell>
          <cell r="J65">
            <v>1961.6</v>
          </cell>
          <cell r="K65" t="str">
            <v>Malt Norge AS</v>
          </cell>
          <cell r="L65" t="str">
            <v>Vectura AS</v>
          </cell>
          <cell r="M65">
            <v>5</v>
          </cell>
          <cell r="N65">
            <v>1</v>
          </cell>
          <cell r="O65">
            <v>1</v>
          </cell>
          <cell r="P65">
            <v>1</v>
          </cell>
          <cell r="R65">
            <v>1</v>
          </cell>
          <cell r="T65">
            <v>1</v>
          </cell>
        </row>
        <row r="66">
          <cell r="B66">
            <v>18803801</v>
          </cell>
          <cell r="C66" t="str">
            <v xml:space="preserve">Adelphi Dist. </v>
          </cell>
          <cell r="D66" t="str">
            <v>Miltonuff 40 yo</v>
          </cell>
          <cell r="F66" t="str">
            <v>Skottland</v>
          </cell>
          <cell r="G66" t="str">
            <v>Single Malt Whisky</v>
          </cell>
          <cell r="H66">
            <v>0.7</v>
          </cell>
          <cell r="I66">
            <v>50.4</v>
          </cell>
          <cell r="J66">
            <v>6312.5</v>
          </cell>
          <cell r="K66" t="str">
            <v>Malt Norge AS</v>
          </cell>
          <cell r="L66" t="str">
            <v>Vectura AS</v>
          </cell>
          <cell r="M66">
            <v>1</v>
          </cell>
          <cell r="N66">
            <v>1</v>
          </cell>
        </row>
        <row r="67">
          <cell r="B67">
            <v>18741301</v>
          </cell>
          <cell r="C67" t="str">
            <v>Whyte &amp; Mackay</v>
          </cell>
          <cell r="D67" t="str">
            <v>Dalmore 2005 Vintage 70cl</v>
          </cell>
          <cell r="E67">
            <v>2005</v>
          </cell>
          <cell r="F67" t="str">
            <v>Skottland</v>
          </cell>
          <cell r="G67" t="str">
            <v>Single Malt Whisky</v>
          </cell>
          <cell r="H67">
            <v>0.7</v>
          </cell>
          <cell r="I67">
            <v>49.3</v>
          </cell>
          <cell r="J67">
            <v>2548.5</v>
          </cell>
          <cell r="K67" t="str">
            <v>Interbrands Spirits Norway AS</v>
          </cell>
          <cell r="L67" t="str">
            <v>Cuveco AS</v>
          </cell>
          <cell r="M67">
            <v>48</v>
          </cell>
          <cell r="N67">
            <v>6</v>
          </cell>
          <cell r="O67">
            <v>6</v>
          </cell>
          <cell r="P67">
            <v>6</v>
          </cell>
          <cell r="Q67">
            <v>6</v>
          </cell>
          <cell r="R67">
            <v>6</v>
          </cell>
          <cell r="S67">
            <v>6</v>
          </cell>
          <cell r="T67">
            <v>6</v>
          </cell>
          <cell r="U67">
            <v>6</v>
          </cell>
          <cell r="W67">
            <v>1</v>
          </cell>
        </row>
        <row r="68">
          <cell r="B68">
            <v>10194301</v>
          </cell>
          <cell r="C68" t="str">
            <v>Distilleria Sibona Spa</v>
          </cell>
          <cell r="D68" t="str">
            <v xml:space="preserve">Grappa Riserva Nebbiolo Millesimata </v>
          </cell>
          <cell r="E68">
            <v>2010</v>
          </cell>
          <cell r="F68" t="str">
            <v>Italia</v>
          </cell>
          <cell r="G68" t="str">
            <v>Grappa</v>
          </cell>
          <cell r="H68">
            <v>0.7</v>
          </cell>
          <cell r="I68">
            <v>44</v>
          </cell>
          <cell r="J68">
            <v>1119.7</v>
          </cell>
          <cell r="K68" t="str">
            <v>Interbrands Spirits Norway AS</v>
          </cell>
          <cell r="L68" t="str">
            <v>Cuveco AS</v>
          </cell>
          <cell r="M68">
            <v>48</v>
          </cell>
          <cell r="N68">
            <v>6</v>
          </cell>
          <cell r="O68">
            <v>6</v>
          </cell>
          <cell r="P68">
            <v>6</v>
          </cell>
          <cell r="Q68">
            <v>6</v>
          </cell>
          <cell r="R68">
            <v>6</v>
          </cell>
          <cell r="S68">
            <v>6</v>
          </cell>
          <cell r="T68">
            <v>6</v>
          </cell>
          <cell r="U68">
            <v>6</v>
          </cell>
        </row>
        <row r="69">
          <cell r="B69">
            <v>18741401</v>
          </cell>
          <cell r="C69" t="str">
            <v>Kyrö Distillery Company</v>
          </cell>
          <cell r="D69" t="str">
            <v>Kyrö Sauna Stories Planteray Rum Cask Finish</v>
          </cell>
          <cell r="E69">
            <v>2024</v>
          </cell>
          <cell r="F69" t="str">
            <v>Finland</v>
          </cell>
          <cell r="G69" t="str">
            <v>Whisky</v>
          </cell>
          <cell r="H69">
            <v>0.7</v>
          </cell>
          <cell r="I69">
            <v>50.8</v>
          </cell>
          <cell r="J69">
            <v>1146.5</v>
          </cell>
          <cell r="K69" t="str">
            <v>Interbrands Spirits Norway AS</v>
          </cell>
          <cell r="L69" t="str">
            <v>Cuveco AS</v>
          </cell>
          <cell r="M69">
            <v>48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W69">
            <v>1</v>
          </cell>
        </row>
        <row r="70">
          <cell r="B70">
            <v>18760001</v>
          </cell>
          <cell r="C70" t="str">
            <v>Macallan</v>
          </cell>
          <cell r="D70" t="str">
            <v>Macallan Time Space Mastery</v>
          </cell>
          <cell r="F70" t="str">
            <v>Skottland</v>
          </cell>
          <cell r="G70" t="str">
            <v>Single Malt Whisky</v>
          </cell>
          <cell r="H70">
            <v>0.7</v>
          </cell>
          <cell r="I70">
            <v>43.6</v>
          </cell>
          <cell r="J70">
            <v>15174.9</v>
          </cell>
          <cell r="K70" t="str">
            <v>Edrington Norway AS</v>
          </cell>
          <cell r="L70" t="str">
            <v>Vectura AS</v>
          </cell>
          <cell r="M70">
            <v>1</v>
          </cell>
          <cell r="Q70">
            <v>1</v>
          </cell>
        </row>
        <row r="71">
          <cell r="B71">
            <v>2044301</v>
          </cell>
          <cell r="C71" t="str">
            <v>Macallan</v>
          </cell>
          <cell r="D71" t="str">
            <v>Macallan Relextion</v>
          </cell>
          <cell r="F71" t="str">
            <v>Skottland</v>
          </cell>
          <cell r="G71" t="str">
            <v>Single Malt Whisky</v>
          </cell>
          <cell r="H71">
            <v>0.7</v>
          </cell>
          <cell r="I71">
            <v>43</v>
          </cell>
          <cell r="J71">
            <v>12674</v>
          </cell>
          <cell r="K71" t="str">
            <v>Edrington Norway AS</v>
          </cell>
          <cell r="L71" t="str">
            <v>Vectura AS</v>
          </cell>
          <cell r="M71">
            <v>1</v>
          </cell>
          <cell r="Q71">
            <v>1</v>
          </cell>
        </row>
        <row r="72">
          <cell r="B72">
            <v>2044201</v>
          </cell>
          <cell r="C72" t="str">
            <v>Macallan</v>
          </cell>
          <cell r="D72" t="str">
            <v>Macallan No.6</v>
          </cell>
          <cell r="F72" t="str">
            <v>Skottland</v>
          </cell>
          <cell r="G72" t="str">
            <v>Single Malt Whisky</v>
          </cell>
          <cell r="H72">
            <v>0.7</v>
          </cell>
          <cell r="I72">
            <v>43</v>
          </cell>
          <cell r="J72">
            <v>35189.9</v>
          </cell>
          <cell r="K72" t="str">
            <v>Edrington Norway AS</v>
          </cell>
          <cell r="L72" t="str">
            <v>Vectura AS</v>
          </cell>
          <cell r="M72">
            <v>1</v>
          </cell>
          <cell r="Q72">
            <v>1</v>
          </cell>
        </row>
        <row r="73">
          <cell r="B73">
            <v>3458501</v>
          </cell>
          <cell r="C73" t="str">
            <v>Macallan</v>
          </cell>
          <cell r="D73" t="str">
            <v>Macallan Sherry Oak 18YO</v>
          </cell>
          <cell r="F73" t="str">
            <v>Skottland</v>
          </cell>
          <cell r="G73" t="str">
            <v>Single Malt Whisky</v>
          </cell>
          <cell r="H73">
            <v>0.7</v>
          </cell>
          <cell r="I73">
            <v>43</v>
          </cell>
          <cell r="J73">
            <v>4174.8999999999996</v>
          </cell>
          <cell r="K73" t="str">
            <v>Edrington Norway AS</v>
          </cell>
          <cell r="L73" t="str">
            <v>Vectura AS</v>
          </cell>
          <cell r="M73">
            <v>108</v>
          </cell>
          <cell r="N73">
            <v>12</v>
          </cell>
          <cell r="O73">
            <v>12</v>
          </cell>
          <cell r="P73">
            <v>12</v>
          </cell>
          <cell r="Q73">
            <v>12</v>
          </cell>
          <cell r="R73">
            <v>12</v>
          </cell>
          <cell r="S73">
            <v>12</v>
          </cell>
          <cell r="T73">
            <v>12</v>
          </cell>
          <cell r="U73">
            <v>12</v>
          </cell>
          <cell r="V73">
            <v>12</v>
          </cell>
        </row>
        <row r="74">
          <cell r="B74">
            <v>18760101</v>
          </cell>
          <cell r="C74" t="str">
            <v>Brugal</v>
          </cell>
          <cell r="D74" t="str">
            <v>Brugal Maestro Reserva</v>
          </cell>
          <cell r="F74" t="str">
            <v>Dominikanske republikk</v>
          </cell>
          <cell r="G74" t="str">
            <v>Rom</v>
          </cell>
          <cell r="H74">
            <v>0.7</v>
          </cell>
          <cell r="I74">
            <v>40</v>
          </cell>
          <cell r="J74">
            <v>2026.1</v>
          </cell>
          <cell r="K74" t="str">
            <v>Edrington Norway AS</v>
          </cell>
          <cell r="L74" t="str">
            <v>Vectura AS</v>
          </cell>
          <cell r="M74">
            <v>48</v>
          </cell>
          <cell r="N74">
            <v>6</v>
          </cell>
          <cell r="O74">
            <v>6</v>
          </cell>
          <cell r="P74">
            <v>6</v>
          </cell>
          <cell r="Q74">
            <v>6</v>
          </cell>
          <cell r="R74">
            <v>6</v>
          </cell>
          <cell r="S74">
            <v>6</v>
          </cell>
          <cell r="T74">
            <v>6</v>
          </cell>
          <cell r="U74">
            <v>6</v>
          </cell>
          <cell r="W74">
            <v>1</v>
          </cell>
        </row>
        <row r="75">
          <cell r="B75">
            <v>18761101</v>
          </cell>
          <cell r="C75" t="str">
            <v>Springbank</v>
          </cell>
          <cell r="D75" t="str">
            <v>Springbank 21 YO</v>
          </cell>
          <cell r="F75" t="str">
            <v>Skottland</v>
          </cell>
          <cell r="G75" t="str">
            <v>Single Malt Whisky</v>
          </cell>
          <cell r="H75">
            <v>0.7</v>
          </cell>
          <cell r="I75">
            <v>46</v>
          </cell>
          <cell r="J75">
            <v>3499</v>
          </cell>
          <cell r="K75" t="str">
            <v>Moestue Grape Selections AS</v>
          </cell>
          <cell r="L75" t="str">
            <v>Skanlog AS</v>
          </cell>
          <cell r="M75">
            <v>23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Y75" t="str">
            <v>Maks 1 flaske Springbank pr kunde</v>
          </cell>
        </row>
        <row r="76">
          <cell r="B76">
            <v>18761001</v>
          </cell>
          <cell r="C76" t="str">
            <v>Glengyle / Springbank</v>
          </cell>
          <cell r="D76" t="str">
            <v>Kilkerran 16 YO</v>
          </cell>
          <cell r="F76" t="str">
            <v>Skottland</v>
          </cell>
          <cell r="G76" t="str">
            <v>Single Malt Whisky</v>
          </cell>
          <cell r="H76">
            <v>0.7</v>
          </cell>
          <cell r="I76">
            <v>46</v>
          </cell>
          <cell r="J76">
            <v>1190</v>
          </cell>
          <cell r="K76" t="str">
            <v>Moestue Grape Selections AS</v>
          </cell>
          <cell r="L76" t="str">
            <v>Skanlog AS</v>
          </cell>
          <cell r="M76">
            <v>54</v>
          </cell>
          <cell r="N76">
            <v>6</v>
          </cell>
          <cell r="O76">
            <v>6</v>
          </cell>
          <cell r="P76">
            <v>6</v>
          </cell>
          <cell r="Q76">
            <v>6</v>
          </cell>
          <cell r="R76">
            <v>6</v>
          </cell>
          <cell r="S76">
            <v>6</v>
          </cell>
          <cell r="T76">
            <v>6</v>
          </cell>
          <cell r="U76">
            <v>6</v>
          </cell>
          <cell r="V76">
            <v>6</v>
          </cell>
          <cell r="W76">
            <v>1</v>
          </cell>
          <cell r="Y76" t="str">
            <v>Maks 1 flaske pr kunde</v>
          </cell>
        </row>
        <row r="77">
          <cell r="B77">
            <v>18742201</v>
          </cell>
          <cell r="C77" t="str">
            <v>Renegade Cane Rum</v>
          </cell>
          <cell r="D77" t="str">
            <v>Single Farm Antoine</v>
          </cell>
          <cell r="F77" t="str">
            <v>Granada</v>
          </cell>
          <cell r="G77" t="str">
            <v>Rom</v>
          </cell>
          <cell r="H77">
            <v>0.7</v>
          </cell>
          <cell r="I77">
            <v>46</v>
          </cell>
          <cell r="J77">
            <v>799.6</v>
          </cell>
          <cell r="K77" t="str">
            <v>Palmer Spirits AS</v>
          </cell>
          <cell r="L77" t="str">
            <v>Cuveco AS</v>
          </cell>
          <cell r="M77">
            <v>108</v>
          </cell>
          <cell r="N77">
            <v>14</v>
          </cell>
          <cell r="O77">
            <v>14</v>
          </cell>
          <cell r="P77">
            <v>12</v>
          </cell>
          <cell r="Q77">
            <v>14</v>
          </cell>
          <cell r="R77">
            <v>14</v>
          </cell>
          <cell r="S77">
            <v>12</v>
          </cell>
          <cell r="T77">
            <v>14</v>
          </cell>
          <cell r="U77">
            <v>14</v>
          </cell>
          <cell r="W77">
            <v>1</v>
          </cell>
        </row>
        <row r="78">
          <cell r="B78">
            <v>18742101</v>
          </cell>
          <cell r="C78" t="str">
            <v>Waterford</v>
          </cell>
          <cell r="D78" t="str">
            <v>SFO Ballyroe 1.1</v>
          </cell>
          <cell r="F78" t="str">
            <v>Ireland</v>
          </cell>
          <cell r="G78" t="str">
            <v>Single Malt Whisky</v>
          </cell>
          <cell r="H78">
            <v>0.7</v>
          </cell>
          <cell r="I78">
            <v>50</v>
          </cell>
          <cell r="J78">
            <v>969.7</v>
          </cell>
          <cell r="K78" t="str">
            <v>Palmer Spirits AS</v>
          </cell>
          <cell r="L78" t="str">
            <v>Cuveco AS</v>
          </cell>
          <cell r="M78">
            <v>108</v>
          </cell>
          <cell r="N78">
            <v>14</v>
          </cell>
          <cell r="O78">
            <v>12</v>
          </cell>
          <cell r="P78">
            <v>14</v>
          </cell>
          <cell r="Q78">
            <v>14</v>
          </cell>
          <cell r="R78">
            <v>12</v>
          </cell>
          <cell r="S78">
            <v>14</v>
          </cell>
          <cell r="T78">
            <v>14</v>
          </cell>
          <cell r="U78">
            <v>14</v>
          </cell>
          <cell r="W78">
            <v>1</v>
          </cell>
        </row>
        <row r="79">
          <cell r="B79">
            <v>18742301</v>
          </cell>
          <cell r="C79" t="str">
            <v>Waterford</v>
          </cell>
          <cell r="D79" t="str">
            <v>SFO Broomlands 1.2</v>
          </cell>
          <cell r="F79" t="str">
            <v>Ireland</v>
          </cell>
          <cell r="G79" t="str">
            <v>Single Malt Whisky</v>
          </cell>
          <cell r="H79">
            <v>0.7</v>
          </cell>
          <cell r="I79">
            <v>50</v>
          </cell>
          <cell r="J79">
            <v>969.7</v>
          </cell>
          <cell r="K79" t="str">
            <v>Palmer Spirits AS</v>
          </cell>
          <cell r="L79" t="str">
            <v>Cuveco AS</v>
          </cell>
          <cell r="M79">
            <v>108</v>
          </cell>
          <cell r="N79">
            <v>14</v>
          </cell>
          <cell r="O79">
            <v>14</v>
          </cell>
          <cell r="P79">
            <v>14</v>
          </cell>
          <cell r="Q79">
            <v>12</v>
          </cell>
          <cell r="R79">
            <v>14</v>
          </cell>
          <cell r="S79">
            <v>14</v>
          </cell>
          <cell r="T79">
            <v>14</v>
          </cell>
          <cell r="U79">
            <v>12</v>
          </cell>
          <cell r="W79">
            <v>1</v>
          </cell>
        </row>
        <row r="80">
          <cell r="B80">
            <v>12327901</v>
          </cell>
          <cell r="C80" t="str">
            <v>CHARTREUSE DIFFUSION</v>
          </cell>
          <cell r="D80" t="str">
            <v>Chartreuse Elixir Liqueur – 1605</v>
          </cell>
          <cell r="F80" t="str">
            <v>Frankrike</v>
          </cell>
          <cell r="G80" t="str">
            <v>Likør</v>
          </cell>
          <cell r="H80">
            <v>0.7</v>
          </cell>
          <cell r="I80">
            <v>56</v>
          </cell>
          <cell r="J80">
            <v>999.9</v>
          </cell>
          <cell r="K80" t="str">
            <v>Interbrands Spirits Norway AS</v>
          </cell>
          <cell r="L80" t="str">
            <v>Cuveco AS</v>
          </cell>
          <cell r="M80">
            <v>60</v>
          </cell>
          <cell r="N80">
            <v>8</v>
          </cell>
          <cell r="O80">
            <v>8</v>
          </cell>
          <cell r="P80">
            <v>6</v>
          </cell>
          <cell r="Q80">
            <v>8</v>
          </cell>
          <cell r="R80">
            <v>8</v>
          </cell>
          <cell r="S80">
            <v>6</v>
          </cell>
          <cell r="T80">
            <v>8</v>
          </cell>
          <cell r="U80">
            <v>8</v>
          </cell>
          <cell r="W80">
            <v>1</v>
          </cell>
          <cell r="Y80" t="str">
            <v>Maks 1 flaske pr kunde</v>
          </cell>
        </row>
        <row r="81">
          <cell r="B81">
            <v>18760901</v>
          </cell>
          <cell r="C81" t="str">
            <v>Arran</v>
          </cell>
          <cell r="D81" t="str">
            <v>Arran The Signature Series Barrel Bonfire</v>
          </cell>
          <cell r="F81" t="str">
            <v>Skottland</v>
          </cell>
          <cell r="G81" t="str">
            <v>Single Malt Whisky</v>
          </cell>
          <cell r="H81">
            <v>0.7</v>
          </cell>
          <cell r="I81">
            <v>50</v>
          </cell>
          <cell r="J81">
            <v>1399</v>
          </cell>
          <cell r="K81" t="str">
            <v>Moestue Grape Selections AS</v>
          </cell>
          <cell r="L81" t="str">
            <v>Skanlog AS</v>
          </cell>
          <cell r="M81">
            <v>120</v>
          </cell>
          <cell r="N81">
            <v>12</v>
          </cell>
          <cell r="O81">
            <v>12</v>
          </cell>
          <cell r="P81">
            <v>12</v>
          </cell>
          <cell r="Q81">
            <v>12</v>
          </cell>
          <cell r="R81">
            <v>12</v>
          </cell>
          <cell r="S81">
            <v>12</v>
          </cell>
          <cell r="T81">
            <v>12</v>
          </cell>
          <cell r="U81">
            <v>12</v>
          </cell>
          <cell r="V81">
            <v>24</v>
          </cell>
          <cell r="W81">
            <v>1</v>
          </cell>
        </row>
        <row r="82">
          <cell r="B82">
            <v>18760401</v>
          </cell>
          <cell r="C82" t="str">
            <v>Arran</v>
          </cell>
          <cell r="D82" t="str">
            <v>Lagg Heavily Peated Corriecravie</v>
          </cell>
          <cell r="F82" t="str">
            <v>Skottland</v>
          </cell>
          <cell r="G82" t="str">
            <v>Single Malt Whisky</v>
          </cell>
          <cell r="H82">
            <v>0.7</v>
          </cell>
          <cell r="I82">
            <v>55</v>
          </cell>
          <cell r="J82">
            <v>1199</v>
          </cell>
          <cell r="K82" t="str">
            <v>Moestue Grape Selections AS</v>
          </cell>
          <cell r="L82" t="str">
            <v>Skanlog AS</v>
          </cell>
          <cell r="M82">
            <v>120</v>
          </cell>
          <cell r="N82">
            <v>12</v>
          </cell>
          <cell r="O82">
            <v>12</v>
          </cell>
          <cell r="P82">
            <v>12</v>
          </cell>
          <cell r="Q82">
            <v>12</v>
          </cell>
          <cell r="R82">
            <v>12</v>
          </cell>
          <cell r="S82">
            <v>12</v>
          </cell>
          <cell r="T82">
            <v>12</v>
          </cell>
          <cell r="U82">
            <v>12</v>
          </cell>
          <cell r="V82">
            <v>24</v>
          </cell>
          <cell r="W82">
            <v>1</v>
          </cell>
        </row>
        <row r="83">
          <cell r="B83">
            <v>18760601</v>
          </cell>
          <cell r="C83" t="str">
            <v>J&amp;G Grant</v>
          </cell>
          <cell r="D83" t="str">
            <v>Glenfarclas Family Casks 2001 Cask #3762 (refill hogshead)</v>
          </cell>
          <cell r="F83" t="str">
            <v>Skottland</v>
          </cell>
          <cell r="G83" t="str">
            <v>Single Malt Whisky</v>
          </cell>
          <cell r="H83">
            <v>0.7</v>
          </cell>
          <cell r="I83">
            <v>54.7</v>
          </cell>
          <cell r="J83">
            <v>3799</v>
          </cell>
          <cell r="K83" t="str">
            <v>Moestue Grape Selections AS</v>
          </cell>
          <cell r="L83" t="str">
            <v>Skanlog AS</v>
          </cell>
          <cell r="M83">
            <v>18</v>
          </cell>
          <cell r="N83">
            <v>2</v>
          </cell>
          <cell r="O83">
            <v>2</v>
          </cell>
          <cell r="P83">
            <v>2</v>
          </cell>
          <cell r="Q83">
            <v>2</v>
          </cell>
          <cell r="R83">
            <v>2</v>
          </cell>
          <cell r="S83">
            <v>2</v>
          </cell>
          <cell r="T83">
            <v>2</v>
          </cell>
          <cell r="U83">
            <v>2</v>
          </cell>
          <cell r="V83">
            <v>2</v>
          </cell>
        </row>
        <row r="84">
          <cell r="B84">
            <v>18803901</v>
          </cell>
          <cell r="C84" t="str">
            <v xml:space="preserve">Arnamurchan </v>
          </cell>
          <cell r="D84" t="str">
            <v xml:space="preserve">AD Sauternes Cask </v>
          </cell>
          <cell r="F84" t="str">
            <v>skottland</v>
          </cell>
          <cell r="G84" t="str">
            <v>Single Malt Whisky</v>
          </cell>
          <cell r="H84">
            <v>0.7</v>
          </cell>
          <cell r="I84">
            <v>50</v>
          </cell>
          <cell r="J84">
            <v>999</v>
          </cell>
          <cell r="K84" t="str">
            <v>Malt Norge AS</v>
          </cell>
          <cell r="L84" t="str">
            <v>Vectura AS</v>
          </cell>
          <cell r="M84">
            <v>240</v>
          </cell>
          <cell r="N84">
            <v>26</v>
          </cell>
          <cell r="O84">
            <v>26</v>
          </cell>
          <cell r="P84">
            <v>26</v>
          </cell>
          <cell r="Q84">
            <v>26</v>
          </cell>
          <cell r="R84">
            <v>26</v>
          </cell>
          <cell r="S84">
            <v>26</v>
          </cell>
          <cell r="T84">
            <v>26</v>
          </cell>
          <cell r="U84">
            <v>26</v>
          </cell>
          <cell r="V84">
            <v>32</v>
          </cell>
          <cell r="W84">
            <v>1</v>
          </cell>
        </row>
        <row r="85">
          <cell r="B85">
            <v>17501901</v>
          </cell>
          <cell r="C85" t="str">
            <v>Mezcal Koch</v>
          </cell>
          <cell r="D85" t="str">
            <v>Mezcal Koch Jabali Ancestral</v>
          </cell>
          <cell r="F85" t="str">
            <v>Mexico</v>
          </cell>
          <cell r="G85" t="str">
            <v>Mezcal</v>
          </cell>
          <cell r="H85">
            <v>0.7</v>
          </cell>
          <cell r="I85">
            <v>47</v>
          </cell>
          <cell r="J85">
            <v>1400</v>
          </cell>
          <cell r="K85" t="str">
            <v>Interbrands Spirits AS</v>
          </cell>
          <cell r="L85" t="str">
            <v>Cuveco</v>
          </cell>
          <cell r="M85">
            <v>60</v>
          </cell>
          <cell r="N85">
            <v>12</v>
          </cell>
          <cell r="O85">
            <v>6</v>
          </cell>
          <cell r="P85">
            <v>6</v>
          </cell>
          <cell r="Q85">
            <v>6</v>
          </cell>
          <cell r="R85">
            <v>12</v>
          </cell>
          <cell r="S85">
            <v>6</v>
          </cell>
          <cell r="T85">
            <v>6</v>
          </cell>
          <cell r="U85">
            <v>6</v>
          </cell>
          <cell r="W85">
            <v>1</v>
          </cell>
        </row>
        <row r="86">
          <cell r="B86">
            <v>17501701</v>
          </cell>
          <cell r="C86" t="str">
            <v>Mezcal Koch</v>
          </cell>
          <cell r="D86" t="str">
            <v>Mezcal Koch Coyote Ancestral</v>
          </cell>
          <cell r="F86" t="str">
            <v>Mexico</v>
          </cell>
          <cell r="G86" t="str">
            <v>Mezcal</v>
          </cell>
          <cell r="H86">
            <v>0.7</v>
          </cell>
          <cell r="I86">
            <v>47</v>
          </cell>
          <cell r="J86">
            <v>1400</v>
          </cell>
          <cell r="K86" t="str">
            <v>Interbrands Spirits AS</v>
          </cell>
          <cell r="L86" t="str">
            <v>Cuveco</v>
          </cell>
          <cell r="M86">
            <v>60</v>
          </cell>
          <cell r="N86">
            <v>12</v>
          </cell>
          <cell r="O86">
            <v>6</v>
          </cell>
          <cell r="P86">
            <v>6</v>
          </cell>
          <cell r="Q86">
            <v>6</v>
          </cell>
          <cell r="R86">
            <v>12</v>
          </cell>
          <cell r="S86">
            <v>6</v>
          </cell>
          <cell r="T86">
            <v>6</v>
          </cell>
          <cell r="U86">
            <v>6</v>
          </cell>
          <cell r="W86">
            <v>1</v>
          </cell>
        </row>
        <row r="87">
          <cell r="B87">
            <v>17501801</v>
          </cell>
          <cell r="C87" t="str">
            <v>Mezcal Koch</v>
          </cell>
          <cell r="D87" t="str">
            <v>Mezcal Koch Pasmo</v>
          </cell>
          <cell r="F87" t="str">
            <v>Mexico</v>
          </cell>
          <cell r="G87" t="str">
            <v>Mezcal</v>
          </cell>
          <cell r="H87">
            <v>0.7</v>
          </cell>
          <cell r="I87">
            <v>47</v>
          </cell>
          <cell r="J87">
            <v>1100</v>
          </cell>
          <cell r="K87" t="str">
            <v>Interbrands Spirits AS</v>
          </cell>
          <cell r="L87" t="str">
            <v>Cuveco</v>
          </cell>
          <cell r="M87">
            <v>60</v>
          </cell>
          <cell r="N87">
            <v>12</v>
          </cell>
          <cell r="O87">
            <v>6</v>
          </cell>
          <cell r="P87">
            <v>6</v>
          </cell>
          <cell r="Q87">
            <v>6</v>
          </cell>
          <cell r="R87">
            <v>12</v>
          </cell>
          <cell r="S87">
            <v>6</v>
          </cell>
          <cell r="T87">
            <v>6</v>
          </cell>
          <cell r="U87">
            <v>6</v>
          </cell>
          <cell r="W87">
            <v>1</v>
          </cell>
        </row>
        <row r="88">
          <cell r="B88">
            <v>17501601</v>
          </cell>
          <cell r="C88" t="str">
            <v>Pokeno</v>
          </cell>
          <cell r="D88" t="str">
            <v>Totura Cask</v>
          </cell>
          <cell r="F88" t="str">
            <v>New Zealand</v>
          </cell>
          <cell r="G88" t="str">
            <v>Single Malt Whisky</v>
          </cell>
          <cell r="H88">
            <v>0.7</v>
          </cell>
          <cell r="I88">
            <v>46</v>
          </cell>
          <cell r="J88">
            <v>1490</v>
          </cell>
          <cell r="K88" t="str">
            <v>Palmer Spirits</v>
          </cell>
          <cell r="L88" t="str">
            <v>Cuveco</v>
          </cell>
          <cell r="M88">
            <v>120</v>
          </cell>
          <cell r="N88">
            <v>15</v>
          </cell>
          <cell r="O88">
            <v>15</v>
          </cell>
          <cell r="P88">
            <v>15</v>
          </cell>
          <cell r="Q88">
            <v>15</v>
          </cell>
          <cell r="R88">
            <v>15</v>
          </cell>
          <cell r="S88">
            <v>15</v>
          </cell>
          <cell r="T88">
            <v>15</v>
          </cell>
          <cell r="U88">
            <v>15</v>
          </cell>
          <cell r="W88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W79" totalsRowShown="0">
  <autoFilter ref="A1:W79" xr:uid="{CE153430-30D6-498B-8322-F90321A429A2}"/>
  <tableColumns count="23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/>
    <tableColumn id="8" xr3:uid="{966A4588-9E52-49FD-8016-1630C78BFBBE}" name="Volum" dataDxfId="15"/>
    <tableColumn id="9" xr3:uid="{0F5559B7-A7E9-48ED-B090-7BD40934A828}" name="Alkohol" dataDxfId="14"/>
    <tableColumn id="10" xr3:uid="{AE9503CA-C150-4A73-A474-CAE601FDB3C9}" name="Salgspris" dataDxfId="13"/>
    <tableColumn id="11" xr3:uid="{811A5B8C-34F4-4C00-BB14-2C9209018212}" name="Grossist" dataDxfId="12"/>
    <tableColumn id="12" xr3:uid="{0B6A9114-92C8-46AE-9BB7-404FB8D4C8A9}" name="Distributør" dataDxfId="11"/>
    <tableColumn id="23" xr3:uid="{C97D3376-DF8E-4345-8BFF-3732714D75AB}" name="Totalt antall" dataDxfId="10"/>
    <tableColumn id="14" xr3:uid="{F0C8D53F-385D-4632-9446-E0952BFFCC1A}" name="Fordeling Aker Brygge (114)" dataDxfId="9"/>
    <tableColumn id="15" xr3:uid="{BDDD42B0-81C4-4B7A-AF52-D7B600A62993}" name="Fordeling Valkendorfsgt (150)" dataDxfId="8"/>
    <tableColumn id="16" xr3:uid="{F933BE27-36CE-4F9E-A904-AEA0740158E9}" name="Fordeling Hamar (230)" dataDxfId="7"/>
    <tableColumn id="17" xr3:uid="{72D91BD5-3BF8-43A7-AA09-3EA228964BCF}" name="Fordeling Sandnes Kvadrat (116)" dataDxfId="6"/>
    <tableColumn id="18" xr3:uid="{DCDDFF0D-E8A6-4787-94DB-4721E3074F84}" name="Fordeling Storo (161)" dataDxfId="5"/>
    <tableColumn id="19" xr3:uid="{596FF882-7109-454F-B9DF-5E7ACC159D2E}" name="Fordeling Sandefjord (283)" dataDxfId="4"/>
    <tableColumn id="20" xr3:uid="{38C248A6-0530-4654-93D6-628551B91B9B}" name="Fordeling Valentinlyst (180)" dataDxfId="3"/>
    <tableColumn id="21" xr3:uid="{5A908F9C-6544-4FCA-B565-C33B694DC3D3}" name="Fordeling Tromsø Langnes (282)" dataDxfId="2"/>
    <tableColumn id="22" xr3:uid="{6A55439E-DE1B-47EA-97BF-92DBA19BBCB5}" name="Fordeling lager Vestby (801)" dataDxfId="1"/>
    <tableColumn id="25" xr3:uid="{8E873525-338F-47D3-A823-FFFB43477970}" name="Til kvotering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W79"/>
  <sheetViews>
    <sheetView tabSelected="1" zoomScale="70" zoomScaleNormal="70" workbookViewId="0">
      <selection activeCell="N10" sqref="N10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4" width="14.85546875" customWidth="1"/>
    <col min="15" max="22" width="14.7109375" customWidth="1"/>
    <col min="23" max="23" width="35.42578125" customWidth="1"/>
  </cols>
  <sheetData>
    <row r="1" spans="1:23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t="s">
        <v>22</v>
      </c>
    </row>
    <row r="2" spans="1:23" ht="31.9" customHeight="1" x14ac:dyDescent="0.25">
      <c r="B2">
        <v>17481301</v>
      </c>
      <c r="C2" t="s">
        <v>57</v>
      </c>
      <c r="D2" t="s">
        <v>58</v>
      </c>
      <c r="F2" t="s">
        <v>23</v>
      </c>
      <c r="G2" t="s">
        <v>24</v>
      </c>
      <c r="H2" s="2">
        <v>0.7</v>
      </c>
      <c r="I2" s="2">
        <v>52.1</v>
      </c>
      <c r="J2" s="1">
        <v>3899</v>
      </c>
      <c r="K2" t="s">
        <v>40</v>
      </c>
      <c r="L2" t="s">
        <v>53</v>
      </c>
      <c r="M2">
        <v>100</v>
      </c>
      <c r="N2">
        <v>13</v>
      </c>
      <c r="O2">
        <v>12</v>
      </c>
      <c r="P2">
        <v>12</v>
      </c>
      <c r="Q2">
        <v>12</v>
      </c>
      <c r="R2">
        <v>12</v>
      </c>
      <c r="S2">
        <v>14</v>
      </c>
      <c r="T2">
        <v>12</v>
      </c>
      <c r="U2">
        <v>13</v>
      </c>
      <c r="V2">
        <v>0</v>
      </c>
    </row>
    <row r="3" spans="1:23" ht="31.9" customHeight="1" x14ac:dyDescent="0.25">
      <c r="B3">
        <v>18735301</v>
      </c>
      <c r="C3" t="s">
        <v>32</v>
      </c>
      <c r="D3" t="s">
        <v>59</v>
      </c>
      <c r="F3" t="s">
        <v>23</v>
      </c>
      <c r="G3" t="s">
        <v>24</v>
      </c>
      <c r="H3" s="2">
        <v>0.7</v>
      </c>
      <c r="I3" s="2">
        <v>52.9</v>
      </c>
      <c r="J3" s="1">
        <v>2799</v>
      </c>
      <c r="K3" t="s">
        <v>40</v>
      </c>
      <c r="L3" t="s">
        <v>53</v>
      </c>
      <c r="M3">
        <v>101</v>
      </c>
      <c r="N3">
        <v>11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6</v>
      </c>
    </row>
    <row r="4" spans="1:23" ht="31.9" customHeight="1" x14ac:dyDescent="0.25">
      <c r="B4">
        <v>17498501</v>
      </c>
      <c r="C4" t="s">
        <v>33</v>
      </c>
      <c r="D4" t="s">
        <v>60</v>
      </c>
      <c r="F4" t="s">
        <v>23</v>
      </c>
      <c r="G4" t="s">
        <v>24</v>
      </c>
      <c r="H4" s="2">
        <v>0.7</v>
      </c>
      <c r="I4" s="2">
        <v>46</v>
      </c>
      <c r="J4" s="1">
        <v>3414.2</v>
      </c>
      <c r="K4" t="s">
        <v>43</v>
      </c>
      <c r="L4" t="s">
        <v>53</v>
      </c>
      <c r="M4">
        <v>53</v>
      </c>
      <c r="N4">
        <v>5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 t="str">
        <f>VLOOKUP(Tabell2[[#This Row],[Artikkelnr.]],[1]Ark1!$B:$Y,24,0)</f>
        <v>Maks 1 flaske Springbank pr kunde</v>
      </c>
    </row>
    <row r="5" spans="1:23" ht="31.9" customHeight="1" x14ac:dyDescent="0.25">
      <c r="B5">
        <v>17498301</v>
      </c>
      <c r="C5" t="s">
        <v>33</v>
      </c>
      <c r="D5" t="s">
        <v>61</v>
      </c>
      <c r="F5" t="s">
        <v>23</v>
      </c>
      <c r="G5" t="s">
        <v>24</v>
      </c>
      <c r="H5" s="2">
        <v>0.7</v>
      </c>
      <c r="I5" s="2">
        <v>54.1</v>
      </c>
      <c r="J5" s="1">
        <v>1585.4</v>
      </c>
      <c r="K5" t="s">
        <v>43</v>
      </c>
      <c r="L5" t="s">
        <v>53</v>
      </c>
      <c r="M5">
        <v>41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6</v>
      </c>
      <c r="V5">
        <v>0</v>
      </c>
      <c r="W5" t="str">
        <f>VLOOKUP(Tabell2[[#This Row],[Artikkelnr.]],[1]Ark1!$B:$Y,24,0)</f>
        <v>Maks 1 flaske Springbank pr kunde</v>
      </c>
    </row>
    <row r="6" spans="1:23" ht="31.9" customHeight="1" x14ac:dyDescent="0.25">
      <c r="B6">
        <v>17502201</v>
      </c>
      <c r="C6" t="s">
        <v>33</v>
      </c>
      <c r="D6" t="s">
        <v>62</v>
      </c>
      <c r="F6" t="s">
        <v>23</v>
      </c>
      <c r="G6" t="s">
        <v>24</v>
      </c>
      <c r="H6" s="2">
        <v>0.7</v>
      </c>
      <c r="I6" s="2">
        <v>57.2</v>
      </c>
      <c r="J6" s="1">
        <v>1185.4000000000001</v>
      </c>
      <c r="K6" t="s">
        <v>43</v>
      </c>
      <c r="L6" t="s">
        <v>53</v>
      </c>
      <c r="M6">
        <v>141</v>
      </c>
      <c r="N6">
        <v>11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46</v>
      </c>
      <c r="W6" t="str">
        <f>VLOOKUP(Tabell2[[#This Row],[Artikkelnr.]],[1]Ark1!$B:$Y,24,0)</f>
        <v>Maks 1 flaske Springbank pr kunde</v>
      </c>
    </row>
    <row r="7" spans="1:23" ht="31.9" customHeight="1" x14ac:dyDescent="0.25">
      <c r="B7">
        <v>17498601</v>
      </c>
      <c r="C7" t="s">
        <v>33</v>
      </c>
      <c r="D7" t="s">
        <v>63</v>
      </c>
      <c r="F7" t="s">
        <v>23</v>
      </c>
      <c r="G7" t="s">
        <v>24</v>
      </c>
      <c r="H7" s="2">
        <v>0.7</v>
      </c>
      <c r="I7" s="2">
        <v>55</v>
      </c>
      <c r="J7" s="1">
        <v>1485.4</v>
      </c>
      <c r="K7" t="s">
        <v>43</v>
      </c>
      <c r="L7" t="s">
        <v>53</v>
      </c>
      <c r="M7">
        <v>53</v>
      </c>
      <c r="N7">
        <v>5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 t="str">
        <f>VLOOKUP(Tabell2[[#This Row],[Artikkelnr.]],[1]Ark1!$B:$Y,24,0)</f>
        <v>Maks 1 flaske Springbank pr kunde</v>
      </c>
    </row>
    <row r="8" spans="1:23" ht="31.9" customHeight="1" x14ac:dyDescent="0.25">
      <c r="B8">
        <v>17501901</v>
      </c>
      <c r="C8" t="s">
        <v>64</v>
      </c>
      <c r="D8" t="s">
        <v>65</v>
      </c>
      <c r="F8" t="s">
        <v>26</v>
      </c>
      <c r="G8" t="s">
        <v>66</v>
      </c>
      <c r="H8" s="2">
        <v>0.7</v>
      </c>
      <c r="I8" s="2">
        <v>47</v>
      </c>
      <c r="J8" s="1">
        <v>1400</v>
      </c>
      <c r="K8" t="s">
        <v>44</v>
      </c>
      <c r="L8" t="s">
        <v>55</v>
      </c>
      <c r="M8">
        <v>59</v>
      </c>
      <c r="N8">
        <v>11</v>
      </c>
      <c r="O8">
        <v>6</v>
      </c>
      <c r="P8">
        <v>6</v>
      </c>
      <c r="Q8">
        <v>6</v>
      </c>
      <c r="R8">
        <v>12</v>
      </c>
      <c r="S8">
        <v>6</v>
      </c>
      <c r="T8">
        <v>6</v>
      </c>
      <c r="U8">
        <v>6</v>
      </c>
      <c r="V8">
        <v>0</v>
      </c>
    </row>
    <row r="9" spans="1:23" ht="31.9" customHeight="1" x14ac:dyDescent="0.25">
      <c r="B9">
        <v>17501701</v>
      </c>
      <c r="C9" t="s">
        <v>64</v>
      </c>
      <c r="D9" t="s">
        <v>67</v>
      </c>
      <c r="F9" t="s">
        <v>26</v>
      </c>
      <c r="G9" t="s">
        <v>66</v>
      </c>
      <c r="H9" s="2">
        <v>0.7</v>
      </c>
      <c r="I9" s="2">
        <v>47</v>
      </c>
      <c r="J9" s="1">
        <v>1400</v>
      </c>
      <c r="K9" t="s">
        <v>44</v>
      </c>
      <c r="L9" t="s">
        <v>55</v>
      </c>
      <c r="M9">
        <v>59</v>
      </c>
      <c r="N9">
        <v>11</v>
      </c>
      <c r="O9">
        <v>6</v>
      </c>
      <c r="P9">
        <v>6</v>
      </c>
      <c r="Q9">
        <v>6</v>
      </c>
      <c r="R9">
        <v>12</v>
      </c>
      <c r="S9">
        <v>6</v>
      </c>
      <c r="T9">
        <v>6</v>
      </c>
      <c r="U9">
        <v>6</v>
      </c>
      <c r="V9">
        <v>0</v>
      </c>
    </row>
    <row r="10" spans="1:23" ht="31.9" customHeight="1" x14ac:dyDescent="0.25">
      <c r="B10">
        <v>17501801</v>
      </c>
      <c r="C10" t="s">
        <v>64</v>
      </c>
      <c r="D10" t="s">
        <v>68</v>
      </c>
      <c r="F10" t="s">
        <v>26</v>
      </c>
      <c r="G10" t="s">
        <v>66</v>
      </c>
      <c r="H10" s="2">
        <v>0.7</v>
      </c>
      <c r="I10" s="2">
        <v>47</v>
      </c>
      <c r="J10" s="1">
        <v>1100</v>
      </c>
      <c r="K10" t="s">
        <v>44</v>
      </c>
      <c r="L10" t="s">
        <v>55</v>
      </c>
      <c r="M10">
        <v>59</v>
      </c>
      <c r="N10">
        <v>11</v>
      </c>
      <c r="O10">
        <v>6</v>
      </c>
      <c r="P10">
        <v>6</v>
      </c>
      <c r="Q10">
        <v>6</v>
      </c>
      <c r="R10">
        <v>12</v>
      </c>
      <c r="S10">
        <v>6</v>
      </c>
      <c r="T10">
        <v>6</v>
      </c>
      <c r="U10">
        <v>6</v>
      </c>
      <c r="V10">
        <v>0</v>
      </c>
    </row>
    <row r="11" spans="1:23" ht="31.9" customHeight="1" x14ac:dyDescent="0.25">
      <c r="B11">
        <v>17501601</v>
      </c>
      <c r="C11" t="s">
        <v>69</v>
      </c>
      <c r="D11" t="s">
        <v>70</v>
      </c>
      <c r="F11" t="s">
        <v>71</v>
      </c>
      <c r="G11" t="s">
        <v>24</v>
      </c>
      <c r="H11" s="2">
        <v>0.7</v>
      </c>
      <c r="I11" s="2">
        <v>46</v>
      </c>
      <c r="J11" s="1">
        <v>1490</v>
      </c>
      <c r="K11" t="s">
        <v>46</v>
      </c>
      <c r="L11" t="s">
        <v>55</v>
      </c>
      <c r="M11">
        <v>119</v>
      </c>
      <c r="N11">
        <v>14</v>
      </c>
      <c r="O11">
        <v>15</v>
      </c>
      <c r="P11">
        <v>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0</v>
      </c>
    </row>
    <row r="12" spans="1:23" ht="31.9" customHeight="1" x14ac:dyDescent="0.25">
      <c r="B12">
        <v>18553801</v>
      </c>
      <c r="C12" t="s">
        <v>72</v>
      </c>
      <c r="D12" t="s">
        <v>73</v>
      </c>
      <c r="E12">
        <v>2014</v>
      </c>
      <c r="F12" t="s">
        <v>27</v>
      </c>
      <c r="G12" t="s">
        <v>24</v>
      </c>
      <c r="H12" s="2">
        <v>0.7</v>
      </c>
      <c r="I12" s="2">
        <v>58</v>
      </c>
      <c r="J12" s="1">
        <v>1385</v>
      </c>
      <c r="K12" t="s">
        <v>50</v>
      </c>
      <c r="L12" t="s">
        <v>52</v>
      </c>
      <c r="M12">
        <v>99</v>
      </c>
      <c r="N12">
        <v>15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0</v>
      </c>
    </row>
    <row r="13" spans="1:23" ht="31.9" customHeight="1" x14ac:dyDescent="0.25">
      <c r="B13">
        <v>18714201</v>
      </c>
      <c r="C13" t="s">
        <v>74</v>
      </c>
      <c r="D13" t="s">
        <v>75</v>
      </c>
      <c r="E13">
        <v>2010</v>
      </c>
      <c r="F13" t="s">
        <v>37</v>
      </c>
      <c r="G13" t="s">
        <v>24</v>
      </c>
      <c r="H13" s="2">
        <v>0.7</v>
      </c>
      <c r="I13" s="2">
        <v>57.1</v>
      </c>
      <c r="J13" s="1">
        <v>1908.7</v>
      </c>
      <c r="K13" t="s">
        <v>41</v>
      </c>
      <c r="L13" t="s">
        <v>54</v>
      </c>
      <c r="M13">
        <v>95</v>
      </c>
      <c r="N13">
        <v>11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0</v>
      </c>
    </row>
    <row r="14" spans="1:23" ht="31.9" customHeight="1" x14ac:dyDescent="0.25">
      <c r="B14">
        <v>18714101</v>
      </c>
      <c r="C14" t="s">
        <v>76</v>
      </c>
      <c r="D14" t="s">
        <v>77</v>
      </c>
      <c r="G14" t="s">
        <v>24</v>
      </c>
      <c r="H14" s="2">
        <v>0.7</v>
      </c>
      <c r="I14" s="2">
        <v>58.6</v>
      </c>
      <c r="J14" s="1">
        <v>4566.5</v>
      </c>
      <c r="K14" t="s">
        <v>41</v>
      </c>
      <c r="L14" t="s">
        <v>54</v>
      </c>
      <c r="M14">
        <v>24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0</v>
      </c>
    </row>
    <row r="15" spans="1:23" ht="31.9" customHeight="1" x14ac:dyDescent="0.25">
      <c r="B15">
        <v>18714001</v>
      </c>
      <c r="C15" t="s">
        <v>76</v>
      </c>
      <c r="D15" t="s">
        <v>78</v>
      </c>
      <c r="F15" t="s">
        <v>37</v>
      </c>
      <c r="G15" t="s">
        <v>24</v>
      </c>
      <c r="H15" s="2">
        <v>0.7</v>
      </c>
      <c r="I15" s="2">
        <v>57.6</v>
      </c>
      <c r="J15" s="1">
        <v>1819.1</v>
      </c>
      <c r="K15" t="s">
        <v>41</v>
      </c>
      <c r="L15" t="s">
        <v>54</v>
      </c>
      <c r="M15">
        <v>107</v>
      </c>
      <c r="N15">
        <v>11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</row>
    <row r="16" spans="1:23" ht="31.9" customHeight="1" x14ac:dyDescent="0.25">
      <c r="B16">
        <v>18713901</v>
      </c>
      <c r="C16" t="s">
        <v>76</v>
      </c>
      <c r="D16" t="s">
        <v>79</v>
      </c>
      <c r="F16" t="s">
        <v>37</v>
      </c>
      <c r="G16" t="s">
        <v>24</v>
      </c>
      <c r="H16" s="2">
        <v>0.7</v>
      </c>
      <c r="I16" s="2">
        <v>59.5</v>
      </c>
      <c r="J16" s="1">
        <v>2061.5</v>
      </c>
      <c r="K16" t="s">
        <v>41</v>
      </c>
      <c r="L16" t="s">
        <v>54</v>
      </c>
      <c r="M16">
        <v>107</v>
      </c>
      <c r="N16">
        <v>11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</row>
    <row r="17" spans="2:23" ht="31.9" customHeight="1" x14ac:dyDescent="0.25">
      <c r="B17">
        <v>18745701</v>
      </c>
      <c r="C17" t="s">
        <v>80</v>
      </c>
      <c r="D17" t="s">
        <v>81</v>
      </c>
      <c r="E17">
        <v>2011</v>
      </c>
      <c r="F17" t="s">
        <v>38</v>
      </c>
      <c r="G17" t="s">
        <v>30</v>
      </c>
      <c r="H17" s="2">
        <v>0.7</v>
      </c>
      <c r="I17" s="2">
        <v>48.4</v>
      </c>
      <c r="J17" s="1">
        <v>1249.9000000000001</v>
      </c>
      <c r="K17" t="s">
        <v>187</v>
      </c>
      <c r="L17" t="s">
        <v>52</v>
      </c>
      <c r="M17">
        <v>125</v>
      </c>
      <c r="N17">
        <v>13</v>
      </c>
      <c r="O17">
        <v>14</v>
      </c>
      <c r="P17">
        <v>14</v>
      </c>
      <c r="Q17">
        <v>14</v>
      </c>
      <c r="R17">
        <v>14</v>
      </c>
      <c r="S17">
        <v>14</v>
      </c>
      <c r="T17">
        <v>14</v>
      </c>
      <c r="U17">
        <v>14</v>
      </c>
      <c r="V17">
        <v>14</v>
      </c>
    </row>
    <row r="18" spans="2:23" ht="31.9" customHeight="1" x14ac:dyDescent="0.25">
      <c r="B18">
        <v>18742601</v>
      </c>
      <c r="C18" t="s">
        <v>82</v>
      </c>
      <c r="D18" t="s">
        <v>83</v>
      </c>
      <c r="E18">
        <v>2008</v>
      </c>
      <c r="F18" t="s">
        <v>84</v>
      </c>
      <c r="G18" t="s">
        <v>30</v>
      </c>
      <c r="H18" s="2">
        <v>0.7</v>
      </c>
      <c r="I18" s="2">
        <v>43</v>
      </c>
      <c r="J18" s="1">
        <v>1532.5</v>
      </c>
      <c r="K18" t="s">
        <v>48</v>
      </c>
      <c r="L18" t="s">
        <v>52</v>
      </c>
      <c r="M18">
        <v>46</v>
      </c>
      <c r="N18">
        <v>5</v>
      </c>
      <c r="O18">
        <v>6</v>
      </c>
      <c r="P18">
        <v>6</v>
      </c>
      <c r="Q18">
        <v>6</v>
      </c>
      <c r="R18">
        <v>6</v>
      </c>
      <c r="S18">
        <v>5</v>
      </c>
      <c r="T18">
        <v>6</v>
      </c>
      <c r="U18">
        <v>6</v>
      </c>
      <c r="V18">
        <v>0</v>
      </c>
    </row>
    <row r="19" spans="2:23" ht="31.9" customHeight="1" x14ac:dyDescent="0.25">
      <c r="B19">
        <v>18742701</v>
      </c>
      <c r="C19" t="s">
        <v>85</v>
      </c>
      <c r="D19" t="s">
        <v>86</v>
      </c>
      <c r="F19" t="s">
        <v>23</v>
      </c>
      <c r="G19" t="s">
        <v>24</v>
      </c>
      <c r="H19" s="2">
        <v>0.7</v>
      </c>
      <c r="I19" s="2">
        <v>52.5</v>
      </c>
      <c r="J19" s="1">
        <v>6650</v>
      </c>
      <c r="K19" t="s">
        <v>48</v>
      </c>
      <c r="L19" t="s">
        <v>52</v>
      </c>
      <c r="M19">
        <v>18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</row>
    <row r="20" spans="2:23" ht="31.9" customHeight="1" x14ac:dyDescent="0.25">
      <c r="B20">
        <v>18742801</v>
      </c>
      <c r="C20" t="s">
        <v>87</v>
      </c>
      <c r="D20" t="s">
        <v>88</v>
      </c>
      <c r="F20" t="s">
        <v>27</v>
      </c>
      <c r="G20" t="s">
        <v>89</v>
      </c>
      <c r="H20" s="2">
        <v>0.7</v>
      </c>
      <c r="I20" s="2">
        <v>45.2</v>
      </c>
      <c r="J20" s="1">
        <v>1924.9</v>
      </c>
      <c r="K20" t="s">
        <v>48</v>
      </c>
      <c r="L20" t="s">
        <v>52</v>
      </c>
      <c r="M20">
        <v>12</v>
      </c>
      <c r="N20">
        <v>3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1</v>
      </c>
      <c r="V20">
        <v>0</v>
      </c>
    </row>
    <row r="21" spans="2:23" ht="31.9" customHeight="1" x14ac:dyDescent="0.25">
      <c r="B21">
        <v>7433802</v>
      </c>
      <c r="C21" t="s">
        <v>90</v>
      </c>
      <c r="D21" t="s">
        <v>91</v>
      </c>
      <c r="E21">
        <v>2019</v>
      </c>
      <c r="F21" t="s">
        <v>92</v>
      </c>
      <c r="G21" t="s">
        <v>93</v>
      </c>
      <c r="H21" s="2">
        <v>0.5</v>
      </c>
      <c r="I21" s="2">
        <v>41</v>
      </c>
      <c r="J21" s="1">
        <v>1080</v>
      </c>
      <c r="K21" t="s">
        <v>188</v>
      </c>
      <c r="L21" t="s">
        <v>192</v>
      </c>
      <c r="M21">
        <v>29</v>
      </c>
      <c r="N21">
        <v>3</v>
      </c>
      <c r="O21">
        <v>4</v>
      </c>
      <c r="P21">
        <v>4</v>
      </c>
      <c r="Q21">
        <v>3</v>
      </c>
      <c r="R21">
        <v>4</v>
      </c>
      <c r="S21">
        <v>4</v>
      </c>
      <c r="T21">
        <v>4</v>
      </c>
      <c r="U21">
        <v>3</v>
      </c>
      <c r="V21">
        <v>0</v>
      </c>
    </row>
    <row r="22" spans="2:23" ht="31.9" customHeight="1" x14ac:dyDescent="0.25">
      <c r="B22">
        <v>18739202</v>
      </c>
      <c r="C22" t="s">
        <v>90</v>
      </c>
      <c r="D22" t="s">
        <v>94</v>
      </c>
      <c r="E22">
        <v>2007</v>
      </c>
      <c r="F22" t="s">
        <v>92</v>
      </c>
      <c r="G22" t="s">
        <v>93</v>
      </c>
      <c r="H22" s="2">
        <v>0.5</v>
      </c>
      <c r="I22" s="2">
        <v>41</v>
      </c>
      <c r="J22" s="1">
        <v>1150</v>
      </c>
      <c r="K22" t="s">
        <v>188</v>
      </c>
      <c r="L22" t="s">
        <v>192</v>
      </c>
      <c r="M22">
        <v>18</v>
      </c>
      <c r="N22">
        <v>4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0</v>
      </c>
    </row>
    <row r="23" spans="2:23" ht="31.9" customHeight="1" x14ac:dyDescent="0.25">
      <c r="B23">
        <v>3599002</v>
      </c>
      <c r="C23" t="s">
        <v>90</v>
      </c>
      <c r="D23" t="s">
        <v>95</v>
      </c>
      <c r="E23">
        <v>2022</v>
      </c>
      <c r="F23" t="s">
        <v>92</v>
      </c>
      <c r="G23" t="s">
        <v>93</v>
      </c>
      <c r="H23" s="2">
        <v>0.5</v>
      </c>
      <c r="I23" s="2">
        <v>41</v>
      </c>
      <c r="J23" s="1">
        <v>1260</v>
      </c>
      <c r="K23" t="s">
        <v>188</v>
      </c>
      <c r="L23" t="s">
        <v>192</v>
      </c>
      <c r="M23">
        <v>18</v>
      </c>
      <c r="N23">
        <v>4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0</v>
      </c>
    </row>
    <row r="24" spans="2:23" ht="31.9" customHeight="1" x14ac:dyDescent="0.25">
      <c r="B24">
        <v>12432402</v>
      </c>
      <c r="C24" t="s">
        <v>90</v>
      </c>
      <c r="D24" t="s">
        <v>96</v>
      </c>
      <c r="E24">
        <v>2020</v>
      </c>
      <c r="F24" t="s">
        <v>92</v>
      </c>
      <c r="G24" t="s">
        <v>93</v>
      </c>
      <c r="H24" s="2">
        <v>0.5</v>
      </c>
      <c r="I24" s="2">
        <v>41</v>
      </c>
      <c r="J24" s="1">
        <v>1850</v>
      </c>
      <c r="K24" t="s">
        <v>188</v>
      </c>
      <c r="L24" t="s">
        <v>192</v>
      </c>
      <c r="M24">
        <v>18</v>
      </c>
      <c r="N24">
        <v>4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0</v>
      </c>
    </row>
    <row r="25" spans="2:23" ht="31.9" customHeight="1" x14ac:dyDescent="0.25">
      <c r="B25">
        <v>3599202</v>
      </c>
      <c r="C25" t="s">
        <v>90</v>
      </c>
      <c r="D25" t="s">
        <v>97</v>
      </c>
      <c r="E25">
        <v>2017</v>
      </c>
      <c r="F25" t="s">
        <v>92</v>
      </c>
      <c r="G25" t="s">
        <v>93</v>
      </c>
      <c r="H25" s="2">
        <v>0.5</v>
      </c>
      <c r="I25" s="2">
        <v>41</v>
      </c>
      <c r="J25" s="1">
        <v>1150</v>
      </c>
      <c r="K25" t="s">
        <v>188</v>
      </c>
      <c r="L25" t="s">
        <v>192</v>
      </c>
      <c r="M25">
        <v>12</v>
      </c>
      <c r="N25">
        <v>2</v>
      </c>
      <c r="O25">
        <v>1</v>
      </c>
      <c r="P25">
        <v>2</v>
      </c>
      <c r="Q25">
        <v>1</v>
      </c>
      <c r="R25">
        <v>2</v>
      </c>
      <c r="S25">
        <v>2</v>
      </c>
      <c r="T25">
        <v>1</v>
      </c>
      <c r="U25">
        <v>1</v>
      </c>
      <c r="V25">
        <v>0</v>
      </c>
    </row>
    <row r="26" spans="2:23" ht="31.9" customHeight="1" x14ac:dyDescent="0.25">
      <c r="B26">
        <v>3601202</v>
      </c>
      <c r="C26" t="s">
        <v>90</v>
      </c>
      <c r="D26" t="s">
        <v>98</v>
      </c>
      <c r="E26">
        <v>2013</v>
      </c>
      <c r="F26" t="s">
        <v>92</v>
      </c>
      <c r="G26" t="s">
        <v>99</v>
      </c>
      <c r="H26" s="2">
        <v>0.5</v>
      </c>
      <c r="I26" s="2">
        <v>41</v>
      </c>
      <c r="J26" s="1">
        <v>920</v>
      </c>
      <c r="K26" t="s">
        <v>188</v>
      </c>
      <c r="L26" t="s">
        <v>192</v>
      </c>
      <c r="M26">
        <v>18</v>
      </c>
      <c r="N26">
        <v>4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0</v>
      </c>
      <c r="W26" s="3"/>
    </row>
    <row r="27" spans="2:23" ht="31.9" customHeight="1" x14ac:dyDescent="0.25">
      <c r="B27">
        <v>18737601</v>
      </c>
      <c r="C27" t="s">
        <v>100</v>
      </c>
      <c r="D27" t="s">
        <v>101</v>
      </c>
      <c r="F27" t="s">
        <v>25</v>
      </c>
      <c r="G27" t="s">
        <v>29</v>
      </c>
      <c r="H27" s="2">
        <v>0.7</v>
      </c>
      <c r="I27" s="2">
        <v>44.1</v>
      </c>
      <c r="J27" s="1">
        <v>1199.9000000000001</v>
      </c>
      <c r="K27" t="s">
        <v>42</v>
      </c>
      <c r="L27" t="s">
        <v>53</v>
      </c>
      <c r="M27">
        <v>95</v>
      </c>
      <c r="N27">
        <v>11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0</v>
      </c>
    </row>
    <row r="28" spans="2:23" ht="31.9" customHeight="1" x14ac:dyDescent="0.25">
      <c r="B28">
        <v>18737701</v>
      </c>
      <c r="C28" t="s">
        <v>100</v>
      </c>
      <c r="D28" t="s">
        <v>102</v>
      </c>
      <c r="F28" t="s">
        <v>25</v>
      </c>
      <c r="G28" t="s">
        <v>29</v>
      </c>
      <c r="H28" s="2">
        <v>0.7</v>
      </c>
      <c r="I28" s="2">
        <v>46.4</v>
      </c>
      <c r="J28" s="1">
        <v>1849.9</v>
      </c>
      <c r="K28" t="s">
        <v>42</v>
      </c>
      <c r="L28" t="s">
        <v>53</v>
      </c>
      <c r="M28">
        <v>95</v>
      </c>
      <c r="N28">
        <v>11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0</v>
      </c>
    </row>
    <row r="29" spans="2:23" ht="31.9" customHeight="1" x14ac:dyDescent="0.25">
      <c r="B29">
        <v>18808901</v>
      </c>
      <c r="C29" t="s">
        <v>103</v>
      </c>
      <c r="D29" t="s">
        <v>104</v>
      </c>
      <c r="E29">
        <v>2024</v>
      </c>
      <c r="F29" t="s">
        <v>23</v>
      </c>
      <c r="G29" t="s">
        <v>24</v>
      </c>
      <c r="H29" s="2">
        <v>0.7</v>
      </c>
      <c r="I29" s="2">
        <v>56.8</v>
      </c>
      <c r="J29" s="1">
        <v>1519.6</v>
      </c>
      <c r="K29" t="s">
        <v>49</v>
      </c>
      <c r="L29" t="s">
        <v>55</v>
      </c>
      <c r="M29">
        <v>89</v>
      </c>
      <c r="N29">
        <v>9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</row>
    <row r="30" spans="2:23" ht="31.9" customHeight="1" x14ac:dyDescent="0.25">
      <c r="B30">
        <v>17358501</v>
      </c>
      <c r="C30" t="s">
        <v>103</v>
      </c>
      <c r="D30" t="s">
        <v>105</v>
      </c>
      <c r="F30" t="s">
        <v>23</v>
      </c>
      <c r="G30" t="s">
        <v>24</v>
      </c>
      <c r="H30" s="2">
        <v>0.7</v>
      </c>
      <c r="I30" s="2">
        <v>56.2</v>
      </c>
      <c r="J30" s="1">
        <v>1219.5999999999999</v>
      </c>
      <c r="K30" t="s">
        <v>49</v>
      </c>
      <c r="L30" t="s">
        <v>55</v>
      </c>
      <c r="M30">
        <v>95</v>
      </c>
      <c r="N30">
        <v>11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0</v>
      </c>
    </row>
    <row r="31" spans="2:23" ht="31.9" customHeight="1" x14ac:dyDescent="0.25">
      <c r="B31">
        <v>18809001</v>
      </c>
      <c r="C31" t="s">
        <v>103</v>
      </c>
      <c r="D31" t="s">
        <v>106</v>
      </c>
      <c r="F31" t="s">
        <v>23</v>
      </c>
      <c r="G31" t="s">
        <v>24</v>
      </c>
      <c r="H31" s="2">
        <v>0.7</v>
      </c>
      <c r="I31" s="2">
        <v>46</v>
      </c>
      <c r="J31" s="1">
        <v>3668.3</v>
      </c>
      <c r="K31" t="s">
        <v>49</v>
      </c>
      <c r="L31" t="s">
        <v>55</v>
      </c>
      <c r="M31">
        <v>59</v>
      </c>
      <c r="N31">
        <v>7</v>
      </c>
      <c r="O31">
        <v>8</v>
      </c>
      <c r="P31">
        <v>7</v>
      </c>
      <c r="Q31">
        <v>7</v>
      </c>
      <c r="R31">
        <v>7</v>
      </c>
      <c r="S31">
        <v>8</v>
      </c>
      <c r="T31">
        <v>7</v>
      </c>
      <c r="U31">
        <v>8</v>
      </c>
      <c r="V31">
        <v>0</v>
      </c>
    </row>
    <row r="32" spans="2:23" ht="31.9" customHeight="1" x14ac:dyDescent="0.25">
      <c r="B32">
        <v>18820301</v>
      </c>
      <c r="C32" t="s">
        <v>107</v>
      </c>
      <c r="D32" t="s">
        <v>108</v>
      </c>
      <c r="F32" t="s">
        <v>23</v>
      </c>
      <c r="G32" t="s">
        <v>24</v>
      </c>
      <c r="H32" s="2">
        <v>0.7</v>
      </c>
      <c r="I32" s="2">
        <v>48.9</v>
      </c>
      <c r="J32" s="1">
        <v>1750</v>
      </c>
      <c r="K32" t="s">
        <v>51</v>
      </c>
      <c r="L32" t="s">
        <v>56</v>
      </c>
      <c r="M32">
        <v>59</v>
      </c>
      <c r="N32">
        <v>7</v>
      </c>
      <c r="O32">
        <v>8</v>
      </c>
      <c r="P32">
        <v>7</v>
      </c>
      <c r="Q32">
        <v>7</v>
      </c>
      <c r="R32">
        <v>8</v>
      </c>
      <c r="S32">
        <v>8</v>
      </c>
      <c r="T32">
        <v>7</v>
      </c>
      <c r="U32">
        <v>7</v>
      </c>
      <c r="V32">
        <v>0</v>
      </c>
    </row>
    <row r="33" spans="2:22" ht="31.9" customHeight="1" x14ac:dyDescent="0.25">
      <c r="B33">
        <v>18820201</v>
      </c>
      <c r="C33" t="s">
        <v>109</v>
      </c>
      <c r="D33" t="s">
        <v>110</v>
      </c>
      <c r="F33" t="s">
        <v>23</v>
      </c>
      <c r="G33" t="s">
        <v>24</v>
      </c>
      <c r="H33" s="2">
        <v>0.7</v>
      </c>
      <c r="I33" s="2">
        <v>51.6</v>
      </c>
      <c r="J33" s="1">
        <v>1499</v>
      </c>
      <c r="K33" t="s">
        <v>51</v>
      </c>
      <c r="L33" t="s">
        <v>56</v>
      </c>
      <c r="M33">
        <v>119</v>
      </c>
      <c r="N33">
        <v>13</v>
      </c>
      <c r="O33">
        <v>14</v>
      </c>
      <c r="P33">
        <v>14</v>
      </c>
      <c r="Q33">
        <v>14</v>
      </c>
      <c r="R33">
        <v>14</v>
      </c>
      <c r="S33">
        <v>14</v>
      </c>
      <c r="T33">
        <v>14</v>
      </c>
      <c r="U33">
        <v>14</v>
      </c>
      <c r="V33">
        <v>8</v>
      </c>
    </row>
    <row r="34" spans="2:22" ht="31.9" customHeight="1" x14ac:dyDescent="0.25">
      <c r="B34">
        <v>18820101</v>
      </c>
      <c r="C34" t="s">
        <v>109</v>
      </c>
      <c r="D34" t="s">
        <v>111</v>
      </c>
      <c r="F34" t="s">
        <v>23</v>
      </c>
      <c r="G34" t="s">
        <v>24</v>
      </c>
      <c r="H34" s="2">
        <v>0.7</v>
      </c>
      <c r="I34" s="2">
        <v>52.6</v>
      </c>
      <c r="J34" s="1">
        <v>1495</v>
      </c>
      <c r="K34" t="s">
        <v>51</v>
      </c>
      <c r="L34" t="s">
        <v>56</v>
      </c>
      <c r="M34">
        <v>89</v>
      </c>
      <c r="N34">
        <v>9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</row>
    <row r="35" spans="2:22" ht="31.9" customHeight="1" x14ac:dyDescent="0.25">
      <c r="B35">
        <v>18732501</v>
      </c>
      <c r="C35" t="s">
        <v>112</v>
      </c>
      <c r="D35" t="s">
        <v>113</v>
      </c>
      <c r="F35" t="s">
        <v>114</v>
      </c>
      <c r="G35" t="s">
        <v>24</v>
      </c>
      <c r="H35" s="2">
        <v>0.7</v>
      </c>
      <c r="I35" s="2">
        <v>54.7</v>
      </c>
      <c r="J35" s="1">
        <v>1799.9</v>
      </c>
      <c r="K35" t="s">
        <v>189</v>
      </c>
      <c r="L35" t="s">
        <v>55</v>
      </c>
      <c r="M35">
        <v>99</v>
      </c>
      <c r="N35">
        <v>11</v>
      </c>
      <c r="O35">
        <v>12</v>
      </c>
      <c r="P35">
        <v>10</v>
      </c>
      <c r="Q35">
        <v>10</v>
      </c>
      <c r="R35">
        <v>12</v>
      </c>
      <c r="S35">
        <v>12</v>
      </c>
      <c r="T35">
        <v>10</v>
      </c>
      <c r="U35">
        <v>12</v>
      </c>
      <c r="V35">
        <v>10</v>
      </c>
    </row>
    <row r="36" spans="2:22" ht="31.9" customHeight="1" x14ac:dyDescent="0.25">
      <c r="B36">
        <v>18733101</v>
      </c>
      <c r="C36" t="s">
        <v>112</v>
      </c>
      <c r="D36" t="s">
        <v>115</v>
      </c>
      <c r="F36" t="s">
        <v>114</v>
      </c>
      <c r="G36" t="s">
        <v>24</v>
      </c>
      <c r="H36" s="2">
        <v>0.7</v>
      </c>
      <c r="I36" s="2">
        <v>58.7</v>
      </c>
      <c r="J36" s="1">
        <v>1399.9</v>
      </c>
      <c r="K36" t="s">
        <v>189</v>
      </c>
      <c r="L36" t="s">
        <v>55</v>
      </c>
      <c r="M36">
        <v>149</v>
      </c>
      <c r="N36">
        <v>11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54</v>
      </c>
    </row>
    <row r="37" spans="2:22" ht="31.9" customHeight="1" x14ac:dyDescent="0.25">
      <c r="B37">
        <v>18732801</v>
      </c>
      <c r="C37" t="s">
        <v>112</v>
      </c>
      <c r="D37" t="s">
        <v>116</v>
      </c>
      <c r="F37" t="s">
        <v>114</v>
      </c>
      <c r="G37" t="s">
        <v>24</v>
      </c>
      <c r="H37" s="2">
        <v>0.7</v>
      </c>
      <c r="I37" s="2">
        <v>57.4</v>
      </c>
      <c r="J37" s="1">
        <v>1999.9</v>
      </c>
      <c r="K37" t="s">
        <v>189</v>
      </c>
      <c r="L37" t="s">
        <v>55</v>
      </c>
      <c r="M37">
        <v>149</v>
      </c>
      <c r="N37">
        <v>11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54</v>
      </c>
    </row>
    <row r="38" spans="2:22" ht="31.9" customHeight="1" x14ac:dyDescent="0.25">
      <c r="B38">
        <v>18732601</v>
      </c>
      <c r="C38" t="s">
        <v>112</v>
      </c>
      <c r="D38" t="s">
        <v>117</v>
      </c>
      <c r="F38" t="s">
        <v>114</v>
      </c>
      <c r="G38" t="s">
        <v>24</v>
      </c>
      <c r="H38" s="2">
        <v>0.7</v>
      </c>
      <c r="I38" s="2">
        <v>55.4</v>
      </c>
      <c r="J38" s="1">
        <v>4999.8999999999996</v>
      </c>
      <c r="K38" t="s">
        <v>189</v>
      </c>
      <c r="L38" t="s">
        <v>55</v>
      </c>
      <c r="M38">
        <v>23</v>
      </c>
      <c r="N38">
        <v>3</v>
      </c>
      <c r="O38">
        <v>3</v>
      </c>
      <c r="P38">
        <v>3</v>
      </c>
      <c r="Q38">
        <v>3</v>
      </c>
      <c r="R38">
        <v>3</v>
      </c>
      <c r="S38">
        <v>2</v>
      </c>
      <c r="T38">
        <v>3</v>
      </c>
      <c r="U38">
        <v>3</v>
      </c>
      <c r="V38">
        <v>0</v>
      </c>
    </row>
    <row r="39" spans="2:22" ht="31.9" customHeight="1" x14ac:dyDescent="0.25">
      <c r="B39">
        <v>18732701</v>
      </c>
      <c r="C39" t="s">
        <v>112</v>
      </c>
      <c r="D39" t="s">
        <v>118</v>
      </c>
      <c r="F39" t="s">
        <v>114</v>
      </c>
      <c r="G39" t="s">
        <v>24</v>
      </c>
      <c r="H39" s="2">
        <v>0.7</v>
      </c>
      <c r="I39" s="2">
        <v>58</v>
      </c>
      <c r="J39" s="1">
        <v>1499.9</v>
      </c>
      <c r="K39" t="s">
        <v>189</v>
      </c>
      <c r="L39" t="s">
        <v>55</v>
      </c>
      <c r="M39">
        <v>47</v>
      </c>
      <c r="N39">
        <v>5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0</v>
      </c>
    </row>
    <row r="40" spans="2:22" ht="31.9" customHeight="1" x14ac:dyDescent="0.25">
      <c r="B40">
        <v>18733001</v>
      </c>
      <c r="C40" t="s">
        <v>112</v>
      </c>
      <c r="D40" t="s">
        <v>119</v>
      </c>
      <c r="F40" t="s">
        <v>114</v>
      </c>
      <c r="G40" t="s">
        <v>24</v>
      </c>
      <c r="H40" s="2">
        <v>0.7</v>
      </c>
      <c r="I40" s="2">
        <v>55.6</v>
      </c>
      <c r="J40" s="1">
        <v>1699.9</v>
      </c>
      <c r="K40" t="s">
        <v>189</v>
      </c>
      <c r="L40" t="s">
        <v>55</v>
      </c>
      <c r="M40">
        <v>185</v>
      </c>
      <c r="N40">
        <v>23</v>
      </c>
      <c r="O40">
        <v>20</v>
      </c>
      <c r="P40">
        <v>20</v>
      </c>
      <c r="Q40">
        <v>20</v>
      </c>
      <c r="R40">
        <v>20</v>
      </c>
      <c r="S40">
        <v>20</v>
      </c>
      <c r="T40">
        <v>20</v>
      </c>
      <c r="U40">
        <v>20</v>
      </c>
      <c r="V40">
        <v>22</v>
      </c>
    </row>
    <row r="41" spans="2:22" ht="31.9" customHeight="1" x14ac:dyDescent="0.25">
      <c r="B41">
        <v>18732901</v>
      </c>
      <c r="C41" t="s">
        <v>112</v>
      </c>
      <c r="D41" t="s">
        <v>120</v>
      </c>
      <c r="F41" t="s">
        <v>114</v>
      </c>
      <c r="G41" t="s">
        <v>24</v>
      </c>
      <c r="H41" s="2">
        <v>0.7</v>
      </c>
      <c r="I41" s="2">
        <v>57.3</v>
      </c>
      <c r="J41" s="1">
        <v>1399.9</v>
      </c>
      <c r="K41" t="s">
        <v>189</v>
      </c>
      <c r="L41" t="s">
        <v>55</v>
      </c>
      <c r="M41">
        <v>83</v>
      </c>
      <c r="N41">
        <v>8</v>
      </c>
      <c r="O41">
        <v>9</v>
      </c>
      <c r="P41">
        <v>9</v>
      </c>
      <c r="Q41">
        <v>9</v>
      </c>
      <c r="R41">
        <v>9</v>
      </c>
      <c r="S41">
        <v>9</v>
      </c>
      <c r="T41">
        <v>9</v>
      </c>
      <c r="U41">
        <v>9</v>
      </c>
      <c r="V41">
        <v>12</v>
      </c>
    </row>
    <row r="42" spans="2:22" ht="31.9" customHeight="1" x14ac:dyDescent="0.25">
      <c r="B42">
        <v>18741501</v>
      </c>
      <c r="C42" t="s">
        <v>121</v>
      </c>
      <c r="D42" t="s">
        <v>122</v>
      </c>
      <c r="F42" t="s">
        <v>25</v>
      </c>
      <c r="G42" t="s">
        <v>123</v>
      </c>
      <c r="H42" s="2">
        <v>0.7</v>
      </c>
      <c r="I42" s="2">
        <v>42</v>
      </c>
      <c r="J42" s="1">
        <v>619.6</v>
      </c>
      <c r="K42" t="s">
        <v>189</v>
      </c>
      <c r="L42" t="s">
        <v>55</v>
      </c>
      <c r="M42">
        <v>95</v>
      </c>
      <c r="N42">
        <v>11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  <c r="V42">
        <v>0</v>
      </c>
    </row>
    <row r="43" spans="2:22" ht="30" customHeight="1" x14ac:dyDescent="0.25">
      <c r="B43">
        <v>18760201</v>
      </c>
      <c r="C43" t="s">
        <v>124</v>
      </c>
      <c r="D43" t="s">
        <v>125</v>
      </c>
      <c r="F43" t="s">
        <v>25</v>
      </c>
      <c r="G43" t="s">
        <v>24</v>
      </c>
      <c r="H43" s="2">
        <v>0.7</v>
      </c>
      <c r="I43" s="2">
        <v>43</v>
      </c>
      <c r="J43" s="1">
        <v>899.9</v>
      </c>
      <c r="K43" t="s">
        <v>189</v>
      </c>
      <c r="L43" t="s">
        <v>55</v>
      </c>
      <c r="M43">
        <v>47</v>
      </c>
      <c r="N43">
        <v>5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0</v>
      </c>
    </row>
    <row r="44" spans="2:22" ht="30" customHeight="1" x14ac:dyDescent="0.25">
      <c r="B44">
        <v>18820001</v>
      </c>
      <c r="C44" t="s">
        <v>126</v>
      </c>
      <c r="D44" t="s">
        <v>127</v>
      </c>
      <c r="F44" t="s">
        <v>23</v>
      </c>
      <c r="G44" t="s">
        <v>24</v>
      </c>
      <c r="H44" s="2">
        <v>0.7</v>
      </c>
      <c r="I44" s="2">
        <v>48</v>
      </c>
      <c r="J44" s="1">
        <v>979.9</v>
      </c>
      <c r="K44" t="s">
        <v>45</v>
      </c>
      <c r="L44" t="s">
        <v>53</v>
      </c>
      <c r="M44">
        <v>95</v>
      </c>
      <c r="N44">
        <v>11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0</v>
      </c>
    </row>
    <row r="45" spans="2:22" ht="30" customHeight="1" x14ac:dyDescent="0.25">
      <c r="B45">
        <v>18819901</v>
      </c>
      <c r="C45" t="s">
        <v>126</v>
      </c>
      <c r="D45" t="s">
        <v>128</v>
      </c>
      <c r="F45" t="s">
        <v>23</v>
      </c>
      <c r="G45" t="s">
        <v>24</v>
      </c>
      <c r="H45" s="2">
        <v>0.7</v>
      </c>
      <c r="I45" s="2">
        <v>48</v>
      </c>
      <c r="J45" s="1">
        <v>979.9</v>
      </c>
      <c r="K45" t="s">
        <v>45</v>
      </c>
      <c r="L45" t="s">
        <v>53</v>
      </c>
      <c r="M45">
        <v>95</v>
      </c>
      <c r="N45">
        <v>11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0</v>
      </c>
    </row>
    <row r="46" spans="2:22" ht="30" customHeight="1" x14ac:dyDescent="0.25">
      <c r="B46">
        <v>6830501</v>
      </c>
      <c r="C46" t="s">
        <v>129</v>
      </c>
      <c r="D46" t="s">
        <v>130</v>
      </c>
      <c r="F46" t="s">
        <v>23</v>
      </c>
      <c r="G46" t="s">
        <v>24</v>
      </c>
      <c r="H46" s="2">
        <v>0.7</v>
      </c>
      <c r="I46" s="2">
        <v>43</v>
      </c>
      <c r="J46" s="1">
        <v>6499</v>
      </c>
      <c r="K46" t="s">
        <v>43</v>
      </c>
      <c r="L46" t="s">
        <v>53</v>
      </c>
      <c r="M46">
        <v>47</v>
      </c>
      <c r="N46">
        <v>5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0</v>
      </c>
    </row>
    <row r="47" spans="2:22" ht="30" customHeight="1" x14ac:dyDescent="0.25">
      <c r="B47">
        <v>18760501</v>
      </c>
      <c r="C47" t="s">
        <v>129</v>
      </c>
      <c r="D47" t="s">
        <v>131</v>
      </c>
      <c r="F47" t="s">
        <v>23</v>
      </c>
      <c r="G47" t="s">
        <v>24</v>
      </c>
      <c r="H47" s="2">
        <v>0.7</v>
      </c>
      <c r="I47" s="2">
        <v>59.6</v>
      </c>
      <c r="J47" s="1">
        <v>2980</v>
      </c>
      <c r="K47" t="s">
        <v>43</v>
      </c>
      <c r="L47" t="s">
        <v>53</v>
      </c>
      <c r="M47">
        <v>46</v>
      </c>
      <c r="N47">
        <v>5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5</v>
      </c>
      <c r="V47">
        <v>0</v>
      </c>
    </row>
    <row r="48" spans="2:22" ht="30" customHeight="1" x14ac:dyDescent="0.25">
      <c r="B48">
        <v>18760701</v>
      </c>
      <c r="C48" t="s">
        <v>132</v>
      </c>
      <c r="D48" t="s">
        <v>133</v>
      </c>
      <c r="F48" t="s">
        <v>25</v>
      </c>
      <c r="G48" t="s">
        <v>193</v>
      </c>
      <c r="H48" s="2">
        <v>0.7</v>
      </c>
      <c r="I48" s="2">
        <v>43.5</v>
      </c>
      <c r="J48" s="1">
        <v>1470</v>
      </c>
      <c r="K48" t="s">
        <v>43</v>
      </c>
      <c r="L48" t="s">
        <v>53</v>
      </c>
      <c r="M48">
        <v>47</v>
      </c>
      <c r="N48">
        <v>5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0</v>
      </c>
    </row>
    <row r="49" spans="2:22" ht="30" customHeight="1" x14ac:dyDescent="0.25">
      <c r="B49">
        <v>18760801</v>
      </c>
      <c r="C49" t="s">
        <v>132</v>
      </c>
      <c r="D49" t="s">
        <v>134</v>
      </c>
      <c r="F49" t="s">
        <v>25</v>
      </c>
      <c r="G49" t="s">
        <v>193</v>
      </c>
      <c r="H49" s="2">
        <v>0.7</v>
      </c>
      <c r="I49" s="2">
        <v>43.5</v>
      </c>
      <c r="J49" s="1">
        <v>1680</v>
      </c>
      <c r="K49" t="s">
        <v>43</v>
      </c>
      <c r="L49" t="s">
        <v>53</v>
      </c>
      <c r="M49">
        <v>47</v>
      </c>
      <c r="N49">
        <v>5</v>
      </c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0</v>
      </c>
    </row>
    <row r="50" spans="2:22" ht="30" customHeight="1" x14ac:dyDescent="0.25">
      <c r="B50">
        <v>17322401</v>
      </c>
      <c r="C50" t="s">
        <v>135</v>
      </c>
      <c r="D50" t="s">
        <v>136</v>
      </c>
      <c r="F50" t="s">
        <v>23</v>
      </c>
      <c r="G50" t="s">
        <v>24</v>
      </c>
      <c r="H50" s="2">
        <v>0.7</v>
      </c>
      <c r="I50" s="2">
        <v>43</v>
      </c>
      <c r="J50" s="1">
        <v>16049.9</v>
      </c>
      <c r="K50" t="s">
        <v>190</v>
      </c>
      <c r="L50" t="s">
        <v>52</v>
      </c>
      <c r="M50">
        <v>8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</row>
    <row r="51" spans="2:22" ht="30" customHeight="1" x14ac:dyDescent="0.25">
      <c r="B51">
        <v>17322501</v>
      </c>
      <c r="C51" t="s">
        <v>135</v>
      </c>
      <c r="D51" t="s">
        <v>137</v>
      </c>
      <c r="F51" t="s">
        <v>23</v>
      </c>
      <c r="G51" t="s">
        <v>24</v>
      </c>
      <c r="H51" s="2">
        <v>0.7</v>
      </c>
      <c r="I51" s="2">
        <v>50</v>
      </c>
      <c r="J51" s="1">
        <v>1849.9</v>
      </c>
      <c r="K51" t="s">
        <v>190</v>
      </c>
      <c r="L51" t="s">
        <v>52</v>
      </c>
      <c r="M51">
        <v>203</v>
      </c>
      <c r="N51">
        <v>23</v>
      </c>
      <c r="O51">
        <v>22</v>
      </c>
      <c r="P51">
        <v>22</v>
      </c>
      <c r="Q51">
        <v>22</v>
      </c>
      <c r="R51">
        <v>22</v>
      </c>
      <c r="S51">
        <v>22</v>
      </c>
      <c r="T51">
        <v>22</v>
      </c>
      <c r="U51">
        <v>22</v>
      </c>
      <c r="V51">
        <v>26</v>
      </c>
    </row>
    <row r="52" spans="2:22" ht="30" customHeight="1" x14ac:dyDescent="0.25">
      <c r="B52">
        <v>18740501</v>
      </c>
      <c r="C52" t="s">
        <v>138</v>
      </c>
      <c r="D52" t="s">
        <v>139</v>
      </c>
      <c r="F52" t="s">
        <v>27</v>
      </c>
      <c r="G52" t="s">
        <v>89</v>
      </c>
      <c r="H52" s="2">
        <v>0.7</v>
      </c>
      <c r="I52" s="2">
        <v>50</v>
      </c>
      <c r="J52" s="1">
        <v>1849.9</v>
      </c>
      <c r="K52" t="s">
        <v>190</v>
      </c>
      <c r="L52" t="s">
        <v>52</v>
      </c>
      <c r="M52">
        <v>95</v>
      </c>
      <c r="N52">
        <v>11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0</v>
      </c>
    </row>
    <row r="53" spans="2:22" ht="30" customHeight="1" x14ac:dyDescent="0.25">
      <c r="B53">
        <v>18740601</v>
      </c>
      <c r="C53" t="s">
        <v>138</v>
      </c>
      <c r="D53" t="s">
        <v>140</v>
      </c>
      <c r="F53" t="s">
        <v>27</v>
      </c>
      <c r="G53" t="s">
        <v>89</v>
      </c>
      <c r="H53" s="2">
        <v>0.7</v>
      </c>
      <c r="I53" s="2">
        <v>50</v>
      </c>
      <c r="J53" s="1">
        <v>1849.9</v>
      </c>
      <c r="K53" t="s">
        <v>190</v>
      </c>
      <c r="L53" t="s">
        <v>52</v>
      </c>
      <c r="M53">
        <v>95</v>
      </c>
      <c r="N53">
        <v>11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0</v>
      </c>
    </row>
    <row r="54" spans="2:22" ht="30" customHeight="1" x14ac:dyDescent="0.25">
      <c r="B54">
        <v>18728501</v>
      </c>
      <c r="C54" t="s">
        <v>141</v>
      </c>
      <c r="D54" t="s">
        <v>142</v>
      </c>
      <c r="F54" t="s">
        <v>92</v>
      </c>
      <c r="G54" t="s">
        <v>99</v>
      </c>
      <c r="H54" s="2">
        <v>0.7</v>
      </c>
      <c r="I54" s="2">
        <v>45</v>
      </c>
      <c r="J54" s="1">
        <v>849.5</v>
      </c>
      <c r="K54" t="s">
        <v>191</v>
      </c>
      <c r="L54" t="s">
        <v>55</v>
      </c>
      <c r="M54">
        <v>48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0</v>
      </c>
    </row>
    <row r="55" spans="2:22" ht="30" customHeight="1" x14ac:dyDescent="0.25">
      <c r="B55">
        <v>12788001</v>
      </c>
      <c r="C55" t="s">
        <v>143</v>
      </c>
      <c r="D55" t="s">
        <v>144</v>
      </c>
      <c r="F55" t="s">
        <v>23</v>
      </c>
      <c r="G55" t="s">
        <v>24</v>
      </c>
      <c r="H55" s="2">
        <v>0.7</v>
      </c>
      <c r="I55" s="2">
        <v>43</v>
      </c>
      <c r="J55" s="1">
        <v>2249</v>
      </c>
      <c r="K55" t="s">
        <v>40</v>
      </c>
      <c r="L55" t="s">
        <v>53</v>
      </c>
      <c r="M55">
        <v>60</v>
      </c>
      <c r="N55">
        <v>8</v>
      </c>
      <c r="O55">
        <v>8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8</v>
      </c>
    </row>
    <row r="56" spans="2:22" ht="30" customHeight="1" x14ac:dyDescent="0.25">
      <c r="B56">
        <v>18735401</v>
      </c>
      <c r="C56" t="s">
        <v>31</v>
      </c>
      <c r="D56" t="s">
        <v>145</v>
      </c>
      <c r="F56" t="s">
        <v>35</v>
      </c>
      <c r="G56" t="s">
        <v>36</v>
      </c>
      <c r="H56" s="2">
        <v>0.7</v>
      </c>
      <c r="I56" s="2">
        <v>46</v>
      </c>
      <c r="J56" s="1">
        <v>849</v>
      </c>
      <c r="K56" t="s">
        <v>40</v>
      </c>
      <c r="L56" t="s">
        <v>53</v>
      </c>
      <c r="M56">
        <v>191</v>
      </c>
      <c r="N56">
        <v>21</v>
      </c>
      <c r="O56">
        <v>21</v>
      </c>
      <c r="P56">
        <v>21</v>
      </c>
      <c r="Q56">
        <v>21</v>
      </c>
      <c r="R56">
        <v>20</v>
      </c>
      <c r="S56">
        <v>21</v>
      </c>
      <c r="T56">
        <v>21</v>
      </c>
      <c r="U56">
        <v>21</v>
      </c>
      <c r="V56">
        <v>24</v>
      </c>
    </row>
    <row r="57" spans="2:22" ht="30" customHeight="1" x14ac:dyDescent="0.25">
      <c r="B57">
        <v>18735201</v>
      </c>
      <c r="C57" t="s">
        <v>146</v>
      </c>
      <c r="D57" t="s">
        <v>147</v>
      </c>
      <c r="F57" t="s">
        <v>28</v>
      </c>
      <c r="G57" t="s">
        <v>24</v>
      </c>
      <c r="H57" s="2">
        <v>0.7</v>
      </c>
      <c r="I57" s="2">
        <v>46</v>
      </c>
      <c r="J57" s="1">
        <v>1079</v>
      </c>
      <c r="K57" t="s">
        <v>40</v>
      </c>
      <c r="L57" t="s">
        <v>53</v>
      </c>
      <c r="M57">
        <v>107</v>
      </c>
      <c r="N57">
        <v>11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</row>
    <row r="58" spans="2:22" ht="30" customHeight="1" x14ac:dyDescent="0.25">
      <c r="B58">
        <v>16613501</v>
      </c>
      <c r="C58" t="s">
        <v>148</v>
      </c>
      <c r="D58" t="s">
        <v>149</v>
      </c>
      <c r="F58" t="s">
        <v>23</v>
      </c>
      <c r="G58" t="s">
        <v>24</v>
      </c>
      <c r="H58" s="2">
        <v>0.7</v>
      </c>
      <c r="I58" s="2">
        <v>50</v>
      </c>
      <c r="J58" s="1">
        <v>874.7</v>
      </c>
      <c r="K58" t="s">
        <v>50</v>
      </c>
      <c r="L58" t="s">
        <v>52</v>
      </c>
      <c r="M58">
        <v>29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5</v>
      </c>
    </row>
    <row r="59" spans="2:22" ht="30" customHeight="1" x14ac:dyDescent="0.25">
      <c r="B59">
        <v>18802401</v>
      </c>
      <c r="C59" t="s">
        <v>148</v>
      </c>
      <c r="D59" t="s">
        <v>150</v>
      </c>
      <c r="E59">
        <v>2013</v>
      </c>
      <c r="F59" t="s">
        <v>23</v>
      </c>
      <c r="G59" t="s">
        <v>24</v>
      </c>
      <c r="H59" s="2">
        <v>0.7</v>
      </c>
      <c r="I59" s="2">
        <v>58.1</v>
      </c>
      <c r="J59" s="1">
        <v>2553.1</v>
      </c>
      <c r="K59" t="s">
        <v>50</v>
      </c>
      <c r="L59" t="s">
        <v>52</v>
      </c>
      <c r="M59">
        <v>16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0</v>
      </c>
    </row>
    <row r="60" spans="2:22" ht="30" customHeight="1" x14ac:dyDescent="0.25">
      <c r="B60">
        <v>18802501</v>
      </c>
      <c r="C60" t="s">
        <v>148</v>
      </c>
      <c r="D60" t="s">
        <v>151</v>
      </c>
      <c r="F60" t="s">
        <v>23</v>
      </c>
      <c r="G60" t="s">
        <v>24</v>
      </c>
      <c r="H60" s="2">
        <v>0.7</v>
      </c>
      <c r="I60" s="2">
        <v>48</v>
      </c>
      <c r="J60" s="1">
        <v>1791.4</v>
      </c>
      <c r="K60" t="s">
        <v>50</v>
      </c>
      <c r="L60" t="s">
        <v>52</v>
      </c>
      <c r="M60">
        <v>10</v>
      </c>
      <c r="N60">
        <v>3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</row>
    <row r="61" spans="2:22" ht="30" customHeight="1" x14ac:dyDescent="0.25">
      <c r="B61">
        <v>18802301</v>
      </c>
      <c r="C61" t="s">
        <v>148</v>
      </c>
      <c r="D61" t="s">
        <v>152</v>
      </c>
      <c r="E61">
        <v>1997</v>
      </c>
      <c r="F61" t="s">
        <v>23</v>
      </c>
      <c r="G61" t="s">
        <v>24</v>
      </c>
      <c r="H61" s="2">
        <v>0.7</v>
      </c>
      <c r="I61" s="2">
        <v>55.5</v>
      </c>
      <c r="J61" s="1">
        <v>6105.8</v>
      </c>
      <c r="K61" t="s">
        <v>50</v>
      </c>
      <c r="L61" t="s">
        <v>52</v>
      </c>
      <c r="M61">
        <v>16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0</v>
      </c>
    </row>
    <row r="62" spans="2:22" ht="30" customHeight="1" x14ac:dyDescent="0.25">
      <c r="B62">
        <v>18741301</v>
      </c>
      <c r="C62" t="s">
        <v>153</v>
      </c>
      <c r="D62" t="s">
        <v>154</v>
      </c>
      <c r="E62">
        <v>2005</v>
      </c>
      <c r="F62" t="s">
        <v>23</v>
      </c>
      <c r="G62" t="s">
        <v>24</v>
      </c>
      <c r="H62" s="2">
        <v>0.7</v>
      </c>
      <c r="I62" s="2">
        <v>49.3</v>
      </c>
      <c r="J62" s="1">
        <v>2548.5</v>
      </c>
      <c r="K62" t="s">
        <v>44</v>
      </c>
      <c r="L62" t="s">
        <v>55</v>
      </c>
      <c r="M62">
        <v>47</v>
      </c>
      <c r="N62">
        <v>5</v>
      </c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0</v>
      </c>
    </row>
    <row r="63" spans="2:22" ht="30" customHeight="1" x14ac:dyDescent="0.25">
      <c r="B63">
        <v>10194301</v>
      </c>
      <c r="C63" t="s">
        <v>155</v>
      </c>
      <c r="D63" t="s">
        <v>156</v>
      </c>
      <c r="E63">
        <v>2010</v>
      </c>
      <c r="F63" t="s">
        <v>92</v>
      </c>
      <c r="G63" t="s">
        <v>99</v>
      </c>
      <c r="H63" s="2">
        <v>0.7</v>
      </c>
      <c r="I63" s="2">
        <v>44</v>
      </c>
      <c r="J63" s="1">
        <v>1119.7</v>
      </c>
      <c r="K63" t="s">
        <v>44</v>
      </c>
      <c r="L63" t="s">
        <v>55</v>
      </c>
      <c r="M63">
        <v>48</v>
      </c>
      <c r="N63">
        <v>6</v>
      </c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  <c r="V63">
        <v>0</v>
      </c>
    </row>
    <row r="64" spans="2:22" ht="30" customHeight="1" x14ac:dyDescent="0.25">
      <c r="B64">
        <v>18741401</v>
      </c>
      <c r="C64" t="s">
        <v>157</v>
      </c>
      <c r="D64" t="s">
        <v>158</v>
      </c>
      <c r="E64">
        <v>2024</v>
      </c>
      <c r="F64" t="s">
        <v>159</v>
      </c>
      <c r="G64" t="s">
        <v>160</v>
      </c>
      <c r="H64" s="2">
        <v>0.7</v>
      </c>
      <c r="I64" s="2">
        <v>50.8</v>
      </c>
      <c r="J64" s="1">
        <v>1146.5</v>
      </c>
      <c r="K64" t="s">
        <v>44</v>
      </c>
      <c r="L64" t="s">
        <v>55</v>
      </c>
      <c r="M64">
        <v>47</v>
      </c>
      <c r="N64">
        <v>5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0</v>
      </c>
    </row>
    <row r="65" spans="2:23" ht="30" customHeight="1" x14ac:dyDescent="0.25">
      <c r="B65">
        <v>18760001</v>
      </c>
      <c r="C65" t="s">
        <v>161</v>
      </c>
      <c r="D65" t="s">
        <v>162</v>
      </c>
      <c r="F65" t="s">
        <v>23</v>
      </c>
      <c r="G65" t="s">
        <v>24</v>
      </c>
      <c r="H65" s="2">
        <v>0.7</v>
      </c>
      <c r="I65" s="2">
        <v>43.6</v>
      </c>
      <c r="J65" s="1">
        <v>15174.9</v>
      </c>
      <c r="K65" t="s">
        <v>47</v>
      </c>
      <c r="L65" t="s">
        <v>52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2:23" ht="30" customHeight="1" x14ac:dyDescent="0.25">
      <c r="B66">
        <v>2044301</v>
      </c>
      <c r="C66" t="s">
        <v>161</v>
      </c>
      <c r="D66" t="s">
        <v>163</v>
      </c>
      <c r="F66" t="s">
        <v>23</v>
      </c>
      <c r="G66" t="s">
        <v>24</v>
      </c>
      <c r="H66" s="2">
        <v>0.7</v>
      </c>
      <c r="I66" s="2">
        <v>43</v>
      </c>
      <c r="J66" s="1">
        <v>12674</v>
      </c>
      <c r="K66" t="s">
        <v>47</v>
      </c>
      <c r="L66" t="s">
        <v>52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2:23" ht="30" customHeight="1" x14ac:dyDescent="0.25">
      <c r="B67">
        <v>2044201</v>
      </c>
      <c r="C67" t="s">
        <v>161</v>
      </c>
      <c r="D67" t="s">
        <v>164</v>
      </c>
      <c r="F67" t="s">
        <v>23</v>
      </c>
      <c r="G67" t="s">
        <v>24</v>
      </c>
      <c r="H67" s="2">
        <v>0.7</v>
      </c>
      <c r="I67" s="2">
        <v>43</v>
      </c>
      <c r="J67" s="1">
        <v>35189.9</v>
      </c>
      <c r="K67" t="s">
        <v>47</v>
      </c>
      <c r="L67" t="s">
        <v>52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2:23" ht="30" customHeight="1" x14ac:dyDescent="0.25">
      <c r="B68">
        <v>3458501</v>
      </c>
      <c r="C68" t="s">
        <v>161</v>
      </c>
      <c r="D68" t="s">
        <v>165</v>
      </c>
      <c r="F68" t="s">
        <v>23</v>
      </c>
      <c r="G68" t="s">
        <v>24</v>
      </c>
      <c r="H68" s="2">
        <v>0.7</v>
      </c>
      <c r="I68" s="2">
        <v>43</v>
      </c>
      <c r="J68" s="1">
        <v>4174.8999999999996</v>
      </c>
      <c r="K68" t="s">
        <v>47</v>
      </c>
      <c r="L68" t="s">
        <v>52</v>
      </c>
      <c r="M68">
        <v>108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</row>
    <row r="69" spans="2:23" ht="30" customHeight="1" x14ac:dyDescent="0.25">
      <c r="B69">
        <v>18760101</v>
      </c>
      <c r="C69" t="s">
        <v>166</v>
      </c>
      <c r="D69" t="s">
        <v>167</v>
      </c>
      <c r="F69" t="s">
        <v>168</v>
      </c>
      <c r="G69" t="s">
        <v>30</v>
      </c>
      <c r="H69" s="2">
        <v>0.7</v>
      </c>
      <c r="I69" s="2">
        <v>40</v>
      </c>
      <c r="J69" s="1">
        <v>2026.1</v>
      </c>
      <c r="K69" t="s">
        <v>47</v>
      </c>
      <c r="L69" t="s">
        <v>52</v>
      </c>
      <c r="M69">
        <v>47</v>
      </c>
      <c r="N69">
        <v>5</v>
      </c>
      <c r="O69">
        <v>6</v>
      </c>
      <c r="P69">
        <v>6</v>
      </c>
      <c r="Q69">
        <v>6</v>
      </c>
      <c r="R69">
        <v>6</v>
      </c>
      <c r="S69">
        <v>6</v>
      </c>
      <c r="T69">
        <v>6</v>
      </c>
      <c r="U69">
        <v>6</v>
      </c>
      <c r="V69">
        <v>0</v>
      </c>
    </row>
    <row r="70" spans="2:23" ht="30" customHeight="1" x14ac:dyDescent="0.25">
      <c r="B70">
        <v>18761101</v>
      </c>
      <c r="C70" t="s">
        <v>33</v>
      </c>
      <c r="D70" t="s">
        <v>169</v>
      </c>
      <c r="F70" t="s">
        <v>23</v>
      </c>
      <c r="G70" t="s">
        <v>24</v>
      </c>
      <c r="H70" s="2">
        <v>0.7</v>
      </c>
      <c r="I70" s="2">
        <v>46</v>
      </c>
      <c r="J70" s="1">
        <v>3499</v>
      </c>
      <c r="K70" t="s">
        <v>43</v>
      </c>
      <c r="L70" t="s">
        <v>53</v>
      </c>
      <c r="M70">
        <v>23</v>
      </c>
      <c r="N70">
        <v>3</v>
      </c>
      <c r="O70">
        <v>3</v>
      </c>
      <c r="P70">
        <v>3</v>
      </c>
      <c r="Q70">
        <v>3</v>
      </c>
      <c r="R70">
        <v>2</v>
      </c>
      <c r="S70">
        <v>3</v>
      </c>
      <c r="T70">
        <v>3</v>
      </c>
      <c r="U70">
        <v>3</v>
      </c>
      <c r="V70">
        <v>0</v>
      </c>
      <c r="W70" t="str">
        <f>VLOOKUP(Tabell2[[#This Row],[Artikkelnr.]],[1]Ark1!$B:$Y,24,0)</f>
        <v>Maks 1 flaske Springbank pr kunde</v>
      </c>
    </row>
    <row r="71" spans="2:23" ht="30" customHeight="1" x14ac:dyDescent="0.25">
      <c r="B71">
        <v>18761001</v>
      </c>
      <c r="C71" t="s">
        <v>170</v>
      </c>
      <c r="D71" t="s">
        <v>171</v>
      </c>
      <c r="F71" t="s">
        <v>23</v>
      </c>
      <c r="G71" t="s">
        <v>24</v>
      </c>
      <c r="H71" s="2">
        <v>0.7</v>
      </c>
      <c r="I71" s="2">
        <v>46</v>
      </c>
      <c r="J71" s="1">
        <v>1190</v>
      </c>
      <c r="K71" t="s">
        <v>43</v>
      </c>
      <c r="L71" t="s">
        <v>53</v>
      </c>
      <c r="M71">
        <v>52</v>
      </c>
      <c r="N71">
        <v>5</v>
      </c>
      <c r="O71">
        <v>6</v>
      </c>
      <c r="P71">
        <v>6</v>
      </c>
      <c r="Q71">
        <v>6</v>
      </c>
      <c r="R71">
        <v>6</v>
      </c>
      <c r="S71">
        <v>6</v>
      </c>
      <c r="T71">
        <v>6</v>
      </c>
      <c r="U71">
        <v>6</v>
      </c>
      <c r="V71">
        <v>5</v>
      </c>
      <c r="W71" t="str">
        <f>VLOOKUP(Tabell2[[#This Row],[Artikkelnr.]],[1]Ark1!$B:$Y,24,0)</f>
        <v>Maks 1 flaske pr kunde</v>
      </c>
    </row>
    <row r="72" spans="2:23" ht="30" customHeight="1" x14ac:dyDescent="0.25">
      <c r="B72">
        <v>18742201</v>
      </c>
      <c r="C72" t="s">
        <v>172</v>
      </c>
      <c r="D72" t="s">
        <v>173</v>
      </c>
      <c r="F72" t="s">
        <v>174</v>
      </c>
      <c r="G72" t="s">
        <v>30</v>
      </c>
      <c r="H72" s="2">
        <v>0.7</v>
      </c>
      <c r="I72" s="2">
        <v>46</v>
      </c>
      <c r="J72" s="1">
        <v>799.6</v>
      </c>
      <c r="K72" t="s">
        <v>46</v>
      </c>
      <c r="L72" t="s">
        <v>55</v>
      </c>
      <c r="M72">
        <v>107</v>
      </c>
      <c r="N72">
        <v>13</v>
      </c>
      <c r="O72">
        <v>14</v>
      </c>
      <c r="P72">
        <v>12</v>
      </c>
      <c r="Q72">
        <v>14</v>
      </c>
      <c r="R72">
        <v>14</v>
      </c>
      <c r="S72">
        <v>12</v>
      </c>
      <c r="T72">
        <v>14</v>
      </c>
      <c r="U72">
        <v>14</v>
      </c>
      <c r="V72">
        <v>0</v>
      </c>
    </row>
    <row r="73" spans="2:23" ht="30" customHeight="1" x14ac:dyDescent="0.25">
      <c r="B73">
        <v>18742101</v>
      </c>
      <c r="C73" t="s">
        <v>175</v>
      </c>
      <c r="D73" t="s">
        <v>176</v>
      </c>
      <c r="F73" t="s">
        <v>177</v>
      </c>
      <c r="G73" t="s">
        <v>24</v>
      </c>
      <c r="H73" s="2">
        <v>0.7</v>
      </c>
      <c r="I73" s="2">
        <v>50</v>
      </c>
      <c r="J73" s="1">
        <v>969.7</v>
      </c>
      <c r="K73" t="s">
        <v>46</v>
      </c>
      <c r="L73" t="s">
        <v>55</v>
      </c>
      <c r="M73">
        <v>107</v>
      </c>
      <c r="N73">
        <v>13</v>
      </c>
      <c r="O73">
        <v>12</v>
      </c>
      <c r="P73">
        <v>14</v>
      </c>
      <c r="Q73">
        <v>14</v>
      </c>
      <c r="R73">
        <v>12</v>
      </c>
      <c r="S73">
        <v>14</v>
      </c>
      <c r="T73">
        <v>14</v>
      </c>
      <c r="U73">
        <v>14</v>
      </c>
      <c r="V73">
        <v>0</v>
      </c>
    </row>
    <row r="74" spans="2:23" ht="30" customHeight="1" x14ac:dyDescent="0.25">
      <c r="B74">
        <v>18742301</v>
      </c>
      <c r="C74" t="s">
        <v>175</v>
      </c>
      <c r="D74" t="s">
        <v>178</v>
      </c>
      <c r="F74" t="s">
        <v>177</v>
      </c>
      <c r="G74" t="s">
        <v>24</v>
      </c>
      <c r="H74" s="2">
        <v>0.7</v>
      </c>
      <c r="I74" s="2">
        <v>50</v>
      </c>
      <c r="J74" s="1">
        <v>969.7</v>
      </c>
      <c r="K74" t="s">
        <v>46</v>
      </c>
      <c r="L74" t="s">
        <v>55</v>
      </c>
      <c r="M74">
        <v>107</v>
      </c>
      <c r="N74">
        <v>13</v>
      </c>
      <c r="O74">
        <v>14</v>
      </c>
      <c r="P74">
        <v>14</v>
      </c>
      <c r="Q74">
        <v>12</v>
      </c>
      <c r="R74">
        <v>14</v>
      </c>
      <c r="S74">
        <v>14</v>
      </c>
      <c r="T74">
        <v>14</v>
      </c>
      <c r="U74">
        <v>12</v>
      </c>
      <c r="V74">
        <v>0</v>
      </c>
    </row>
    <row r="75" spans="2:23" ht="30" customHeight="1" x14ac:dyDescent="0.25">
      <c r="B75">
        <v>12327901</v>
      </c>
      <c r="C75" t="s">
        <v>34</v>
      </c>
      <c r="D75" t="s">
        <v>179</v>
      </c>
      <c r="F75" t="s">
        <v>25</v>
      </c>
      <c r="G75" t="s">
        <v>39</v>
      </c>
      <c r="H75" s="2">
        <v>0.7</v>
      </c>
      <c r="I75" s="2">
        <v>56</v>
      </c>
      <c r="J75" s="1">
        <v>999.9</v>
      </c>
      <c r="K75" t="s">
        <v>44</v>
      </c>
      <c r="L75" t="s">
        <v>55</v>
      </c>
      <c r="M75">
        <v>59</v>
      </c>
      <c r="N75">
        <v>7</v>
      </c>
      <c r="O75">
        <v>8</v>
      </c>
      <c r="P75">
        <v>6</v>
      </c>
      <c r="Q75">
        <v>8</v>
      </c>
      <c r="R75">
        <v>8</v>
      </c>
      <c r="S75">
        <v>6</v>
      </c>
      <c r="T75">
        <v>8</v>
      </c>
      <c r="U75">
        <v>8</v>
      </c>
      <c r="V75">
        <v>0</v>
      </c>
      <c r="W75" t="str">
        <f>VLOOKUP(Tabell2[[#This Row],[Artikkelnr.]],[1]Ark1!$B:$Y,24,0)</f>
        <v>Maks 1 flaske pr kunde</v>
      </c>
    </row>
    <row r="76" spans="2:23" ht="30" customHeight="1" x14ac:dyDescent="0.25">
      <c r="B76">
        <v>18760901</v>
      </c>
      <c r="C76" t="s">
        <v>180</v>
      </c>
      <c r="D76" t="s">
        <v>181</v>
      </c>
      <c r="F76" t="s">
        <v>23</v>
      </c>
      <c r="G76" t="s">
        <v>24</v>
      </c>
      <c r="H76" s="2">
        <v>0.7</v>
      </c>
      <c r="I76" s="2">
        <v>50</v>
      </c>
      <c r="J76" s="1">
        <v>1399</v>
      </c>
      <c r="K76" t="s">
        <v>43</v>
      </c>
      <c r="L76" t="s">
        <v>53</v>
      </c>
      <c r="M76">
        <v>117</v>
      </c>
      <c r="N76">
        <v>11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22</v>
      </c>
    </row>
    <row r="77" spans="2:23" ht="30" customHeight="1" x14ac:dyDescent="0.25">
      <c r="B77">
        <v>18760401</v>
      </c>
      <c r="C77" t="s">
        <v>180</v>
      </c>
      <c r="D77" t="s">
        <v>182</v>
      </c>
      <c r="F77" t="s">
        <v>23</v>
      </c>
      <c r="G77" t="s">
        <v>24</v>
      </c>
      <c r="H77" s="2">
        <v>0.7</v>
      </c>
      <c r="I77" s="2">
        <v>55</v>
      </c>
      <c r="J77" s="1">
        <v>1199</v>
      </c>
      <c r="K77" t="s">
        <v>43</v>
      </c>
      <c r="L77" t="s">
        <v>53</v>
      </c>
      <c r="M77">
        <v>115</v>
      </c>
      <c r="N77">
        <v>11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20</v>
      </c>
    </row>
    <row r="78" spans="2:23" ht="30" customHeight="1" x14ac:dyDescent="0.25">
      <c r="B78">
        <v>18760601</v>
      </c>
      <c r="C78" t="s">
        <v>129</v>
      </c>
      <c r="D78" t="s">
        <v>183</v>
      </c>
      <c r="F78" t="s">
        <v>23</v>
      </c>
      <c r="G78" t="s">
        <v>24</v>
      </c>
      <c r="H78" s="2">
        <v>0.7</v>
      </c>
      <c r="I78" s="2">
        <v>54.7</v>
      </c>
      <c r="J78" s="1">
        <v>3799</v>
      </c>
      <c r="K78" t="s">
        <v>43</v>
      </c>
      <c r="L78" t="s">
        <v>53</v>
      </c>
      <c r="M78">
        <v>18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</row>
    <row r="79" spans="2:23" ht="30" customHeight="1" x14ac:dyDescent="0.25">
      <c r="B79">
        <v>18803901</v>
      </c>
      <c r="C79" t="s">
        <v>184</v>
      </c>
      <c r="D79" t="s">
        <v>185</v>
      </c>
      <c r="F79" t="s">
        <v>186</v>
      </c>
      <c r="G79" t="s">
        <v>24</v>
      </c>
      <c r="H79" s="2">
        <v>0.7</v>
      </c>
      <c r="I79" s="2">
        <v>50</v>
      </c>
      <c r="J79" s="1">
        <v>999</v>
      </c>
      <c r="K79" t="s">
        <v>50</v>
      </c>
      <c r="L79" t="s">
        <v>52</v>
      </c>
      <c r="M79">
        <v>236</v>
      </c>
      <c r="N79">
        <v>25</v>
      </c>
      <c r="O79">
        <v>26</v>
      </c>
      <c r="P79">
        <v>26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F8F937-E511-4AE1-BBFC-FD92427A8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621F1-2EB4-4815-836C-545ACE379A03}">
  <ds:schemaRefs>
    <ds:schemaRef ds:uri="http://schemas.microsoft.com/office/infopath/2007/PartnerControls"/>
    <ds:schemaRef ds:uri="6f9d9f57-3724-4ee0-9bc0-8a070f583baf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6ee34bc-3c3e-49ed-81f0-4f6da9966adc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Sørensen, Idar</cp:lastModifiedBy>
  <cp:revision/>
  <dcterms:created xsi:type="dcterms:W3CDTF">2023-08-07T12:39:13Z</dcterms:created>
  <dcterms:modified xsi:type="dcterms:W3CDTF">2025-05-13T08:57:06Z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