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1/202102 Burgund/"/>
    </mc:Choice>
  </mc:AlternateContent>
  <xr:revisionPtr revIDLastSave="95" documentId="8_{E89878EE-FC25-438F-81B8-6BFBF44C6873}" xr6:coauthVersionLast="47" xr6:coauthVersionMax="47" xr10:uidLastSave="{EB6CC206-3642-4EED-A710-79383E5025B3}"/>
  <bookViews>
    <workbookView xWindow="3120" yWindow="3120" windowWidth="38700" windowHeight="15345" xr2:uid="{EC5D20F3-E8DC-4D49-8061-AF223D31140E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</calcChain>
</file>

<file path=xl/sharedStrings.xml><?xml version="1.0" encoding="utf-8"?>
<sst xmlns="http://schemas.openxmlformats.org/spreadsheetml/2006/main" count="3681" uniqueCount="480">
  <si>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</si>
  <si>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</si>
  <si>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</si>
  <si>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</si>
  <si>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</si>
  <si>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</si>
  <si>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</si>
  <si>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</si>
  <si>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</si>
  <si>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</si>
  <si>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</si>
  <si>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</si>
  <si>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Oslo, Aker Brygge</t>
  </si>
  <si>
    <t>Fordeling Bergen, Valkendorfsgt.</t>
  </si>
  <si>
    <t>Fordeling Hamar</t>
  </si>
  <si>
    <t>Fordeling Sandnes, Sentrum</t>
  </si>
  <si>
    <t>Fordeling Oslo, CC Vest</t>
  </si>
  <si>
    <t>Fordeling Sandefjord</t>
  </si>
  <si>
    <t>Fordeling Trondheim, Valentinlyst</t>
  </si>
  <si>
    <t>Postkontor/ på dør</t>
  </si>
  <si>
    <t>Fordeling Oslo, Skøyen</t>
  </si>
  <si>
    <t>Fordeling Tromsø, Langnes</t>
  </si>
  <si>
    <t>Fordeling Bodø, City Nord</t>
  </si>
  <si>
    <t>Til kvotering</t>
  </si>
  <si>
    <t>Angerville</t>
  </si>
  <si>
    <t>Volnay Caillerets</t>
  </si>
  <si>
    <t>Frankrike</t>
  </si>
  <si>
    <t>Burgund</t>
  </si>
  <si>
    <t>Volnay</t>
  </si>
  <si>
    <t>Premier Cru</t>
  </si>
  <si>
    <t>Rødvin</t>
  </si>
  <si>
    <t>Maks 1 flaske pr kunde</t>
  </si>
  <si>
    <t>Volnay Clos des Angles</t>
  </si>
  <si>
    <t>Arlaud</t>
  </si>
  <si>
    <t>Gevrey-Chambertin Combottes</t>
  </si>
  <si>
    <t>Gevrey-Chambertin</t>
  </si>
  <si>
    <t>Clos de la Roche</t>
  </si>
  <si>
    <t>Morey-St.-Denis</t>
  </si>
  <si>
    <t>Grand cru</t>
  </si>
  <si>
    <t>Clos St.-Denis</t>
  </si>
  <si>
    <t>Armand</t>
  </si>
  <si>
    <t>Pommard Clos des Epenaux</t>
  </si>
  <si>
    <t>Pommard</t>
  </si>
  <si>
    <t>Bachelet, D.</t>
  </si>
  <si>
    <t>Bourgogne Aligote</t>
  </si>
  <si>
    <t>Hvitvin</t>
  </si>
  <si>
    <t xml:space="preserve">Cote de Nuits-Villages </t>
  </si>
  <si>
    <t>Brochon</t>
  </si>
  <si>
    <t>Charmes-Chambertin Vieilles Vignes</t>
  </si>
  <si>
    <t>Gevrey-Chambertin Corbeaux Vieilles Vignes</t>
  </si>
  <si>
    <t>Gevrey-Chambertin Evocelles Vieilles Vignes</t>
  </si>
  <si>
    <t>Gevrey-Chambertin Vieilles Vignes</t>
  </si>
  <si>
    <t>Bourgogne</t>
  </si>
  <si>
    <t>Ballot-Millot</t>
  </si>
  <si>
    <t>Chassagne-Montrachet Morgeot Tete de Clos</t>
  </si>
  <si>
    <t>Chassagne-Montrachet</t>
  </si>
  <si>
    <t>Meursault Boucheres</t>
  </si>
  <si>
    <t>Meursault</t>
  </si>
  <si>
    <t>Meursault Narvaux</t>
  </si>
  <si>
    <t>Meursault Perrieres</t>
  </si>
  <si>
    <t xml:space="preserve">Bourgogne </t>
  </si>
  <si>
    <t>Bellene, Maison Roche de</t>
  </si>
  <si>
    <t>Grands-Echezeaux</t>
  </si>
  <si>
    <t>Flagey-Echezeaux</t>
  </si>
  <si>
    <t>Chambertin Clos de Beze</t>
  </si>
  <si>
    <t>Berthaut-Gerbet</t>
  </si>
  <si>
    <t>Chambolle-Musigny Plantes</t>
  </si>
  <si>
    <t>Chambolle-Musigny</t>
  </si>
  <si>
    <t>Fixin Arvelets</t>
  </si>
  <si>
    <t>Fixin</t>
  </si>
  <si>
    <t>Fixin Crais</t>
  </si>
  <si>
    <t>Fixin Combe Roy</t>
  </si>
  <si>
    <t>Gevrey-Chambertin Cazetiers</t>
  </si>
  <si>
    <t>Vosne-Romanee Petits Monts</t>
  </si>
  <si>
    <t>Vosne-Romanee</t>
  </si>
  <si>
    <t>Vosne-Romanee Suchots</t>
  </si>
  <si>
    <t>Clos Vougeot</t>
  </si>
  <si>
    <t>Vougeot</t>
  </si>
  <si>
    <t>Bourgogne Hautes-Cotes de Nuits</t>
  </si>
  <si>
    <t>Bertheau, F.</t>
  </si>
  <si>
    <t>Chambolle-Musigny Amoureuses</t>
  </si>
  <si>
    <t>Chambolle-Musigny Charmes</t>
  </si>
  <si>
    <t>Chambolle-Musigny Premier Cru</t>
  </si>
  <si>
    <t>Bonnes-Mares</t>
  </si>
  <si>
    <t>Chambolle-Musigny/Morey-St.-Denis</t>
  </si>
  <si>
    <t>Blain, M.-A.</t>
  </si>
  <si>
    <t>Blain-Gagnard</t>
  </si>
  <si>
    <t>Chassagne-Montrachet Morgeot</t>
  </si>
  <si>
    <t>Maks 2 flasker pr kunde</t>
  </si>
  <si>
    <t>Criots Batard-Montrachet</t>
  </si>
  <si>
    <t>Batard-Montrachet</t>
  </si>
  <si>
    <t>Puligny-Montrachet/Chassagne-Montrachet</t>
  </si>
  <si>
    <t>Montrachet</t>
  </si>
  <si>
    <t>Boillot, H.</t>
  </si>
  <si>
    <t xml:space="preserve">Meursault </t>
  </si>
  <si>
    <t>Meursault Charmes</t>
  </si>
  <si>
    <t>Meursault Genevrieres</t>
  </si>
  <si>
    <t>Meursault Poruzots</t>
  </si>
  <si>
    <t>Chevalier-Montrachet</t>
  </si>
  <si>
    <t>Puligny-Montrachet</t>
  </si>
  <si>
    <t>Puligny-Montrachet Clos de la Mouchere</t>
  </si>
  <si>
    <t>Puligny-Montrachet Combettes</t>
  </si>
  <si>
    <t>Puligny-Montrachet Perrieres</t>
  </si>
  <si>
    <t>Puligny-Montrachet Pucelles</t>
  </si>
  <si>
    <t>Boillot, J.-M.</t>
  </si>
  <si>
    <t>Puligny-Montrachet Champs Canet</t>
  </si>
  <si>
    <t>Puligny-Montrachet Referts</t>
  </si>
  <si>
    <t>Puligny-Montrachet Sous le Puits</t>
  </si>
  <si>
    <t>Puligny-Montrachet Truffiere</t>
  </si>
  <si>
    <t>Boisson, A.</t>
  </si>
  <si>
    <t>Meursault Chevalieres</t>
  </si>
  <si>
    <t>Boisson, P.</t>
  </si>
  <si>
    <t>Auxey-Duresses</t>
  </si>
  <si>
    <t>Meursault Grands Charrons</t>
  </si>
  <si>
    <t>Bourgogne Herbeaux</t>
  </si>
  <si>
    <t>Auxey-Duresses Premier Cru</t>
  </si>
  <si>
    <t>Monthelie</t>
  </si>
  <si>
    <t>Bourgogne Hautes-Cotes de Beaune</t>
  </si>
  <si>
    <t>Bouchard Pere &amp; Fils</t>
  </si>
  <si>
    <t>Corton-Charlemagne</t>
  </si>
  <si>
    <t>Aloxe-Corton/Pernand-Vergelesses/Ladoix</t>
  </si>
  <si>
    <t>Le Corton</t>
  </si>
  <si>
    <t>Beaune Greves Vigne de l'Enfant Jesus</t>
  </si>
  <si>
    <t>Beaune</t>
  </si>
  <si>
    <t>Monthelie Champs Fulliot</t>
  </si>
  <si>
    <t>Nuits St.-Georges Cailles</t>
  </si>
  <si>
    <t>Nuits St.-Georges</t>
  </si>
  <si>
    <t>Volnay Caillerets Ancienne Cuvee Carnot</t>
  </si>
  <si>
    <t>Volnay Taillepieds</t>
  </si>
  <si>
    <t>Bouzereau, M.</t>
  </si>
  <si>
    <t>Meursault Charmes Dessus</t>
  </si>
  <si>
    <t>Meursault Tessons</t>
  </si>
  <si>
    <t>Puligny-Montrachet Caillerets</t>
  </si>
  <si>
    <t>Puligny-Montrachet Champs Gains</t>
  </si>
  <si>
    <t>Buisson-Charles</t>
  </si>
  <si>
    <t>Meursault-Blagny</t>
  </si>
  <si>
    <t>Meursault Bouches Cheres</t>
  </si>
  <si>
    <t>Meursault Cras</t>
  </si>
  <si>
    <t>Meursault Goutte d'Or</t>
  </si>
  <si>
    <t>Meursault Vieilles Vignes</t>
  </si>
  <si>
    <t>Burguet</t>
  </si>
  <si>
    <t>Chambolle-Musigny Echezeaux</t>
  </si>
  <si>
    <t>Vosne-Romanee Rouge du Dessus</t>
  </si>
  <si>
    <t>Bourgogne Pince vin</t>
  </si>
  <si>
    <t>Carillon, J.</t>
  </si>
  <si>
    <t>Ch. de la Tour</t>
  </si>
  <si>
    <t>Clos-Vougeot</t>
  </si>
  <si>
    <t>Clos-Vougeot Vieilles Vignes</t>
  </si>
  <si>
    <t>Ch. de Quarts</t>
  </si>
  <si>
    <t>Pouilly-Fuisse Clos des Quarts</t>
  </si>
  <si>
    <t>Pouilly-Fuisse</t>
  </si>
  <si>
    <t>Champy</t>
  </si>
  <si>
    <t>Pernand-Vergelesses Caradeux</t>
  </si>
  <si>
    <t>Pernand-Vergelesses</t>
  </si>
  <si>
    <t>Pernand-Vergelesses Ile des Vergelesses</t>
  </si>
  <si>
    <t>Chanson, Domaine</t>
  </si>
  <si>
    <t>Pernand-Vergelesses Les Vergelesses</t>
  </si>
  <si>
    <t>Chevillon, R.</t>
  </si>
  <si>
    <t>Nuits-St.-Georges Bousselottes</t>
  </si>
  <si>
    <t>Nuits-St.-Georges Cailles</t>
  </si>
  <si>
    <t>Maks 3 flasker pr kunde</t>
  </si>
  <si>
    <t>Nuits-St.-Georges Chaignots</t>
  </si>
  <si>
    <t>Nuits-St.-Georges Perrieres</t>
  </si>
  <si>
    <t>Nuits-St.-Georges Pruliers</t>
  </si>
  <si>
    <t>Nuits-St.-Georges Roncieres</t>
  </si>
  <si>
    <t>Nuits-St.-Georges St.-Georges</t>
  </si>
  <si>
    <t>Nuits-St.-Georges Vaucrains</t>
  </si>
  <si>
    <t>Nuits-St.-Georges Vieilles Vignes</t>
  </si>
  <si>
    <t>Clair</t>
  </si>
  <si>
    <t>Gevrey-Chambertin Clos St.-Jacques</t>
  </si>
  <si>
    <t>Gevrey-Chambertin Petite Chapelle</t>
  </si>
  <si>
    <t>Chambolle-Musigny Veroilles</t>
  </si>
  <si>
    <t>Marsannay</t>
  </si>
  <si>
    <t>Marsannay Grasses Tetes</t>
  </si>
  <si>
    <t>Marsannay Longerois</t>
  </si>
  <si>
    <t>Gevrey-Chambertin Clos du Fonteny</t>
  </si>
  <si>
    <t>Savigny-les-Beaune</t>
  </si>
  <si>
    <t>Savigny-les-Beaune Dominode</t>
  </si>
  <si>
    <t>Savigny-les-Beaune Jarrons</t>
  </si>
  <si>
    <t>Clement, P.</t>
  </si>
  <si>
    <t>Chassagne-Montrachet Baudines</t>
  </si>
  <si>
    <t>Meursault Vireuils</t>
  </si>
  <si>
    <t>Puligny-Montrachet Chalumeaux</t>
  </si>
  <si>
    <t xml:space="preserve">Clerget, Y. </t>
  </si>
  <si>
    <t>Pommard Rugiens</t>
  </si>
  <si>
    <t>Volnay Carelle sous Chapelle</t>
  </si>
  <si>
    <t>Volnay Champans</t>
  </si>
  <si>
    <t>Volnay Clos du Verseuil</t>
  </si>
  <si>
    <t>Volnay Mitans</t>
  </si>
  <si>
    <t>Volnay Santenots</t>
  </si>
  <si>
    <t>Clos de la Chapelle</t>
  </si>
  <si>
    <t>Corton-Bressandes</t>
  </si>
  <si>
    <t>Pommard Chanlins Vieilles Vignes</t>
  </si>
  <si>
    <t>Pommard Grand Epenots</t>
  </si>
  <si>
    <t>Volnay Clos de la Chapelle</t>
  </si>
  <si>
    <t>Clos du Moulin aux Moines</t>
  </si>
  <si>
    <t>Auxey-Duresses Clos du Moulin aux Moines Vieilles Vignes</t>
  </si>
  <si>
    <t>Colin-Morey</t>
  </si>
  <si>
    <t>Maks 1 flaske Colin-Morey pr kunde</t>
  </si>
  <si>
    <t>Chassagne-Montrachet Chenevottes</t>
  </si>
  <si>
    <t xml:space="preserve">Chassagne-Montrachet  </t>
  </si>
  <si>
    <t>Confuron</t>
  </si>
  <si>
    <t>Nuits St.-Georges Chaboeufs</t>
  </si>
  <si>
    <t>Romanee St.-Vivent</t>
  </si>
  <si>
    <t>Coquard-Loison-Fleurot</t>
  </si>
  <si>
    <t>Echezeaux</t>
  </si>
  <si>
    <t>Charmes-Chambertin</t>
  </si>
  <si>
    <t>Clos de Vougeot</t>
  </si>
  <si>
    <t>Drouhin</t>
  </si>
  <si>
    <t>Beaune Clos des Mouches</t>
  </si>
  <si>
    <t>Corton</t>
  </si>
  <si>
    <t>Musigny</t>
  </si>
  <si>
    <t>Nuits-St.-Georges Proces</t>
  </si>
  <si>
    <t>Drouhin/Marquis de Laguiche</t>
  </si>
  <si>
    <t>Dujac</t>
  </si>
  <si>
    <t>Puligny-Montrachet Folatieres</t>
  </si>
  <si>
    <t>Vosne-Romanee Malconsorts</t>
  </si>
  <si>
    <t>Duroche</t>
  </si>
  <si>
    <t>Gevrey-Chambertin Etelois</t>
  </si>
  <si>
    <t>Gevrey-Chambertin Jeunes Rois</t>
  </si>
  <si>
    <t>Latricieres-Chambertin</t>
  </si>
  <si>
    <t xml:space="preserve">Faiveley </t>
  </si>
  <si>
    <t>Chambolle-Musigny Combe d'Orveau</t>
  </si>
  <si>
    <t>Chambolle-Musigny Fuees</t>
  </si>
  <si>
    <t>Echezeaux En Orveaux</t>
  </si>
  <si>
    <t>Gevrey-Chambertin Clos des Issarts</t>
  </si>
  <si>
    <t>Gevrey-Chambertin Lavaux St.-Jacques</t>
  </si>
  <si>
    <t>Mazis-Chambertin</t>
  </si>
  <si>
    <t>Corton Clos des Cortons Faiveley</t>
  </si>
  <si>
    <t>Ladoix</t>
  </si>
  <si>
    <t>Mercurey Clos du Roy La Favorite</t>
  </si>
  <si>
    <t>Mercurey</t>
  </si>
  <si>
    <t>Nuits-St.-Georges Damodes</t>
  </si>
  <si>
    <t>Fontaine-Gagnard</t>
  </si>
  <si>
    <t>Chassagne-Montrachet Boudriotte</t>
  </si>
  <si>
    <t>Chassagne-Montrachet Caillerets</t>
  </si>
  <si>
    <t>Chassagne-Montrachet Maltroie</t>
  </si>
  <si>
    <t>Chassagne-Montrachet Romanee</t>
  </si>
  <si>
    <t>Forey</t>
  </si>
  <si>
    <t xml:space="preserve">Nuits St.-Georges </t>
  </si>
  <si>
    <t>Nuits St.-Georges Perrieres</t>
  </si>
  <si>
    <t>Nuits St.-Georges St.-Georges</t>
  </si>
  <si>
    <t>Fourrier</t>
  </si>
  <si>
    <t>Maks 1 flaske Fourrier pr kunde</t>
  </si>
  <si>
    <t>Gevrey-Chambertin Combe aux Moines</t>
  </si>
  <si>
    <t>Gagnard-Delegrange</t>
  </si>
  <si>
    <t>Germain, H.</t>
  </si>
  <si>
    <t>Chassagne-Montrachet Morgeot Fairendes</t>
  </si>
  <si>
    <t>Bourgogne Cote d'Or</t>
  </si>
  <si>
    <t>Beaune Bressandes</t>
  </si>
  <si>
    <t>Meursault Clos des Mouches</t>
  </si>
  <si>
    <t>Girardin</t>
  </si>
  <si>
    <t>Giroud, C.</t>
  </si>
  <si>
    <t>St.-Romain Sous le Chateau</t>
  </si>
  <si>
    <t>St.-Romain</t>
  </si>
  <si>
    <t>Santenay Clos Rousseau</t>
  </si>
  <si>
    <t>Santenay</t>
  </si>
  <si>
    <t>Vosne-Romanee Chalandins</t>
  </si>
  <si>
    <t>Glantenay, B. &amp; T.</t>
  </si>
  <si>
    <t>Pommard Riottes</t>
  </si>
  <si>
    <t>Pommard Saussilles</t>
  </si>
  <si>
    <t xml:space="preserve">Volnay </t>
  </si>
  <si>
    <t>Volnay Brouillards</t>
  </si>
  <si>
    <t>Volnay Clos des Chenes</t>
  </si>
  <si>
    <t>Gouges</t>
  </si>
  <si>
    <t>Nuits St.-Georges Clos de Porrets St.-Georges</t>
  </si>
  <si>
    <t>Nuits St.-Georges Pruliers</t>
  </si>
  <si>
    <t>Gros, A.</t>
  </si>
  <si>
    <t>Maks 1 flaske Anne Gros pr kunde</t>
  </si>
  <si>
    <t>Richebourg</t>
  </si>
  <si>
    <t>Heresztyn-Mazzini</t>
  </si>
  <si>
    <t>Gevrey-Chambertin Jouises</t>
  </si>
  <si>
    <t>Morey-St.-Denis Millandes</t>
  </si>
  <si>
    <t>Jadot</t>
  </si>
  <si>
    <t>Chassagne-Montrachet Morgeot Clos de la Chapelle</t>
  </si>
  <si>
    <t>Corton-Greves</t>
  </si>
  <si>
    <t>Corton-Pougets</t>
  </si>
  <si>
    <t>Beaune Boucherottes</t>
  </si>
  <si>
    <t>Beaune Clos des Ursules</t>
  </si>
  <si>
    <t>Beaune Greves</t>
  </si>
  <si>
    <t>Chambolle-Musigny Baudes</t>
  </si>
  <si>
    <t>Cote de Nuits-Villages Vaucrains</t>
  </si>
  <si>
    <t>Comblanchien</t>
  </si>
  <si>
    <t>Chapelle-Chambertin</t>
  </si>
  <si>
    <t>Gevrey-Chambertin Estournelles St.-Jacques</t>
  </si>
  <si>
    <t>Griotte-Chambertin</t>
  </si>
  <si>
    <t>Nuits-St.-Georges Boudots</t>
  </si>
  <si>
    <t>Savigny-les-Beaune Clos des Guettes</t>
  </si>
  <si>
    <t>Volnay Clos de la Barre</t>
  </si>
  <si>
    <t>Bourgogne Chapitre</t>
  </si>
  <si>
    <t xml:space="preserve">Jobard, A. </t>
  </si>
  <si>
    <t>Meursault En la Barre</t>
  </si>
  <si>
    <t xml:space="preserve">Jobard, R. </t>
  </si>
  <si>
    <t>Meursault Poruzot Dessus</t>
  </si>
  <si>
    <t>Monthelie Vignes Rondes</t>
  </si>
  <si>
    <t>Joblot</t>
  </si>
  <si>
    <t>Givry En Veau</t>
  </si>
  <si>
    <t>Givry</t>
  </si>
  <si>
    <t>Givry Madamoiselle</t>
  </si>
  <si>
    <t>Givry l'Empreinte</t>
  </si>
  <si>
    <t>Givry Clos Marole</t>
  </si>
  <si>
    <t>Joliet</t>
  </si>
  <si>
    <t>Fixin Clos de la Perriere</t>
  </si>
  <si>
    <t>hvitvin</t>
  </si>
  <si>
    <t>Lafon</t>
  </si>
  <si>
    <t>Maks 1 flaske Lafon pr kunde</t>
  </si>
  <si>
    <t>Meursault Clos de la Barre</t>
  </si>
  <si>
    <t>Lafouge, J. &amp; G.</t>
  </si>
  <si>
    <t>Meursault Casse-Tetes</t>
  </si>
  <si>
    <t>Auxey-Duresses Climat du Val</t>
  </si>
  <si>
    <t>Auxey-Duresses Ecusseaux</t>
  </si>
  <si>
    <t>Auxey-Duresses Les Duresses</t>
  </si>
  <si>
    <t>Lamarche</t>
  </si>
  <si>
    <t>Grande Rue</t>
  </si>
  <si>
    <t>Vosne-Romanee Chaumes</t>
  </si>
  <si>
    <t>Lambrays</t>
  </si>
  <si>
    <t>Clos de Lambrays</t>
  </si>
  <si>
    <t>Latour-Giraud</t>
  </si>
  <si>
    <t>Meursault Cuvee Charles Maxime</t>
  </si>
  <si>
    <t>Meursault Genevrieres Cuvee de Pierre</t>
  </si>
  <si>
    <t>Leflaive, Domaine</t>
  </si>
  <si>
    <t>Meursault Sous le Dos d'Ane</t>
  </si>
  <si>
    <t>Bienvenues Batard-Montrachet</t>
  </si>
  <si>
    <t>Puligny-Montrachet Clavoillon</t>
  </si>
  <si>
    <t>Legros, F.</t>
  </si>
  <si>
    <t>Morey-St.-Denis Clos Sorbe</t>
  </si>
  <si>
    <t>Nuits-St.-Georges</t>
  </si>
  <si>
    <t>Nuits-St.-Georges Thorey</t>
  </si>
  <si>
    <t>Leroux</t>
  </si>
  <si>
    <t>Meursault-Blagny Piece Sous le Bois</t>
  </si>
  <si>
    <t>Liger-Belair, T</t>
  </si>
  <si>
    <t>Lumpp, F.</t>
  </si>
  <si>
    <t>Givry Crausot</t>
  </si>
  <si>
    <t>Givry A Vigne Rouge</t>
  </si>
  <si>
    <t>Givry Clos du Cras Long</t>
  </si>
  <si>
    <t>Magnien, S.</t>
  </si>
  <si>
    <t>Morey-St.-Denis Cuvee Petites Noix</t>
  </si>
  <si>
    <t>Morey-St.-Denis Faconnieres</t>
  </si>
  <si>
    <t>Maratray-Dubreuil</t>
  </si>
  <si>
    <t>Ladoix En Naget</t>
  </si>
  <si>
    <t>Meo-Camuzet</t>
  </si>
  <si>
    <t>Ladoix Grechons</t>
  </si>
  <si>
    <t>Corton-Clos Rognet</t>
  </si>
  <si>
    <t>Chambolle-Musigny Cras</t>
  </si>
  <si>
    <t>Fixin Clos du Chapitre</t>
  </si>
  <si>
    <t>Nuits-St.-Georges Murgers</t>
  </si>
  <si>
    <t>Vosne-Romanee Brulee</t>
  </si>
  <si>
    <t>Bourgogne Cote d'Or Hemisphere Nord</t>
  </si>
  <si>
    <t>Bourgogne Cote d'Or Hemisphere Sud</t>
  </si>
  <si>
    <t>Meurgey-Croses</t>
  </si>
  <si>
    <t>Pouilly-Fuisse Vieilles Vignes</t>
  </si>
  <si>
    <t>St.-Veran</t>
  </si>
  <si>
    <t>Vire-Clesse Vieilles Vignes</t>
  </si>
  <si>
    <t>Vire-Clesse</t>
  </si>
  <si>
    <t>Millot, J.-M.</t>
  </si>
  <si>
    <t>Cote de Nuits-Villages Faulques</t>
  </si>
  <si>
    <t>Clos de Vougeot Grand Maupertui</t>
  </si>
  <si>
    <t>Cote de Nuits-Villages Vieilles Vignes</t>
  </si>
  <si>
    <t>Moine</t>
  </si>
  <si>
    <t>Chassagne-Montrachet Grande Montagne</t>
  </si>
  <si>
    <t>Chambolle-Musigny Haut Doix</t>
  </si>
  <si>
    <t>Morey-St.-Denis Chaffots</t>
  </si>
  <si>
    <t>Pommard Epenots</t>
  </si>
  <si>
    <t>Vosne-Romanee Au Dessus des Malconsorts</t>
  </si>
  <si>
    <t>Montille</t>
  </si>
  <si>
    <t>Pommard Rugiens Bas</t>
  </si>
  <si>
    <t>Vosne-Romanee Malconsorts Christiane</t>
  </si>
  <si>
    <t>Moreau, B.</t>
  </si>
  <si>
    <t>Morey, P.</t>
  </si>
  <si>
    <t>Noellat, G.</t>
  </si>
  <si>
    <t>Nuits-St.-Georges Cras</t>
  </si>
  <si>
    <t>Noellat, M.C.</t>
  </si>
  <si>
    <t>Chambolle-Musigny Feusselottes</t>
  </si>
  <si>
    <t>Gevrey-Chambertin En Champs</t>
  </si>
  <si>
    <t>Nudant</t>
  </si>
  <si>
    <t>Aloxe-Corton Clos de la Boulotte</t>
  </si>
  <si>
    <t xml:space="preserve">Aloxe-Corton  </t>
  </si>
  <si>
    <t>Pascerettes des Vignes</t>
  </si>
  <si>
    <t>Macon Milly-Lamartine Cuvee Claude et Alphonsine</t>
  </si>
  <si>
    <t>Macon Milly-Lamartine</t>
  </si>
  <si>
    <t>Pernot Pere &amp; Fils</t>
  </si>
  <si>
    <t xml:space="preserve">Cote de Nuits-Villages Croix Violette </t>
  </si>
  <si>
    <t>Ponsot, Domaine</t>
  </si>
  <si>
    <t>St.-Romain Cuvee de la Mesange</t>
  </si>
  <si>
    <t>Corton Cuvee de Bourdon</t>
  </si>
  <si>
    <t>Clos de la Roche Vieilles Vignes</t>
  </si>
  <si>
    <t>Morey-St.-Denis Clos des Monts Luisants Vieilles Vignes</t>
  </si>
  <si>
    <t>Morey-St.-Denis Cuvee des Alouettes</t>
  </si>
  <si>
    <t>Morey-St.-Denis Cuvee des Grives</t>
  </si>
  <si>
    <t>Bourgogne Cuvee du Pinson</t>
  </si>
  <si>
    <t>Ponsot, L.</t>
  </si>
  <si>
    <t>Meursault Cuvee du Pandorea</t>
  </si>
  <si>
    <t>Bourgogne Cuvee du Perce-Neige</t>
  </si>
  <si>
    <t>Beaune Cuvee du Noyer</t>
  </si>
  <si>
    <t>Chambolle-Musigny Cuvee de la Violette</t>
  </si>
  <si>
    <t>Gevrey-Chambertin Cuvee d l'Aulne</t>
  </si>
  <si>
    <t>Griotte-Chambertin Cuvee du Saule</t>
  </si>
  <si>
    <t>Vosne-Romanee Cuvee du Cerisier</t>
  </si>
  <si>
    <t>Clos de Vougeot Cuvee du Cedre</t>
  </si>
  <si>
    <t>Bourgogne Cuvee des Peupliers</t>
  </si>
  <si>
    <t>Pousse d'Or</t>
  </si>
  <si>
    <t>Corton Clos du Roi</t>
  </si>
  <si>
    <t>Chambolle-Musigny Groseilles</t>
  </si>
  <si>
    <t>Pommard Jarollieres</t>
  </si>
  <si>
    <t>Santenay Clos Tavannes</t>
  </si>
  <si>
    <t xml:space="preserve">Volnay Caillerets Clos des 60 Ouvrees  </t>
  </si>
  <si>
    <t>Volnay Clos de la Bousse d'Or</t>
  </si>
  <si>
    <t>Ramonet</t>
  </si>
  <si>
    <t>Chassagne-Montrachet Vergers</t>
  </si>
  <si>
    <t>St.-Aubin Remilly</t>
  </si>
  <si>
    <t>St.-Aubin</t>
  </si>
  <si>
    <t>Chassagne-Montrachet Clos St.-Jean</t>
  </si>
  <si>
    <t>Rossignol-Trapet</t>
  </si>
  <si>
    <t>Chambertin</t>
  </si>
  <si>
    <t>Roulot</t>
  </si>
  <si>
    <t>Meursault Clos de Boucheres</t>
  </si>
  <si>
    <t>Maks 1 flaske Roulot pr kunde</t>
  </si>
  <si>
    <t>Meursault Luchets</t>
  </si>
  <si>
    <t>Meursault Tessons - Clos de Mon Plaisir</t>
  </si>
  <si>
    <t>Roumier</t>
  </si>
  <si>
    <t>Chambolle-Musigny Combottes</t>
  </si>
  <si>
    <t>Maks 1 flaske Roumier pr kunde</t>
  </si>
  <si>
    <t>Morey-St.-Denis Clos de la Bussiere</t>
  </si>
  <si>
    <t>Sauzet</t>
  </si>
  <si>
    <t>Maks 1 flaske Sauzet pr kunde</t>
  </si>
  <si>
    <t>Puligny-Montrachet Garenne</t>
  </si>
  <si>
    <t>Le Montrachet</t>
  </si>
  <si>
    <t>Taupenot-Merme</t>
  </si>
  <si>
    <t>Corton-Rognet</t>
  </si>
  <si>
    <t>Aloxe-Corton</t>
  </si>
  <si>
    <t>Gevrey-Chambertin Bel Air</t>
  </si>
  <si>
    <t>Mazoyeres-Chambertin</t>
  </si>
  <si>
    <t>Morey-St.-Denis Riotte</t>
  </si>
  <si>
    <t>Tollot-Beaut</t>
  </si>
  <si>
    <t>Aloxe-Corton Vercots</t>
  </si>
  <si>
    <t>Beaune Clos du Roi</t>
  </si>
  <si>
    <t>Chorey-les-Beaune</t>
  </si>
  <si>
    <t>Savigny-les-Beaune Champ Chevrey</t>
  </si>
  <si>
    <t>Tortochot</t>
  </si>
  <si>
    <t>Gevrey-Chambertin Champeaux</t>
  </si>
  <si>
    <t>Gevrey-Chambertin Champerrier Vieilles Vignes</t>
  </si>
  <si>
    <t>Trapet</t>
  </si>
  <si>
    <t>Gevrey-Chambertin Ostrea</t>
  </si>
  <si>
    <t>Vincent, J.-M.</t>
  </si>
  <si>
    <t>Auxey-Duresses Hautes</t>
  </si>
  <si>
    <t>Santenay Beaurepaire</t>
  </si>
  <si>
    <t>Santenay Gravieres</t>
  </si>
  <si>
    <t>Santenay Passetemps</t>
  </si>
  <si>
    <t>Santenay Vieilles Vignes</t>
  </si>
  <si>
    <t>Mullineux</t>
  </si>
  <si>
    <t>Olerasay 2° Chenin Blanc</t>
  </si>
  <si>
    <t>NV</t>
  </si>
  <si>
    <t>Sør-Afrika</t>
  </si>
  <si>
    <t>Swartland</t>
  </si>
  <si>
    <t xml:space="preserve">Diamond Creek </t>
  </si>
  <si>
    <t>Gravelly Meadow Cabernet Sauvignon</t>
  </si>
  <si>
    <t>USA</t>
  </si>
  <si>
    <t>California</t>
  </si>
  <si>
    <t xml:space="preserve">Napa Valley </t>
  </si>
  <si>
    <t>Red Rock Terrace Cabernet Sauvignon</t>
  </si>
  <si>
    <t>Volcanic Hill Cabernet Sauvignon</t>
  </si>
  <si>
    <t>Mount Eden</t>
  </si>
  <si>
    <t>Domaine Eden Chardonnay</t>
  </si>
  <si>
    <t>Santa Cruz Mountains</t>
  </si>
  <si>
    <t>Domaine Eden Pinot Noir</t>
  </si>
  <si>
    <t>Mount Eden Vineyards Cabernet Sauvignon</t>
  </si>
  <si>
    <t>Mount Eden Vineyards Pinot Noir</t>
  </si>
  <si>
    <t xml:space="preserve">Mount Eden </t>
  </si>
  <si>
    <t>Edna Valley Chardonnnay</t>
  </si>
  <si>
    <t>Edna Valley</t>
  </si>
  <si>
    <t xml:space="preserve">Mount Eden Vineyards Chardonnnay </t>
  </si>
  <si>
    <t xml:space="preserve">Cristom </t>
  </si>
  <si>
    <t>Eileen Vineyard Pinot Noir</t>
  </si>
  <si>
    <t>Oregon</t>
  </si>
  <si>
    <t xml:space="preserve">Eola Amity Hills </t>
  </si>
  <si>
    <t>Jessie Vineyard Pinot Noir</t>
  </si>
  <si>
    <t>Louise Vineyard Pinot Noir</t>
  </si>
  <si>
    <t>Marjorie Vineyard Pinot Noir</t>
  </si>
  <si>
    <t>Paul Gerrie Vineyard Pinot Noir</t>
  </si>
  <si>
    <t>Totalverdi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</si>
</sst>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right" vertical="top" wrapText="1" indent="1"/>
    </xf>
    <xf numFmtId="4" fontId="0" fillId="0" borderId="0" xfId="0" applyNumberFormat="1" applyAlignment="1">
      <alignment horizontal="right" indent="1"/>
    </xf>
  </cellXfs>
  <cellStyles count="1">
    <cellStyle name="Normal" xfId="0" builtinId="0"/>
  </cellStyles>
  <dxfs count="8">
    <dxf>
      <alignment textRotation="0" wrapText="1" indent="0" justifyLastLine="0" shrinkToFit="0" readingOrder="0"/>
    </dxf>
    <dxf>
      <numFmt numFmtId="4" formatCode="#,##0.0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CF1979-5A8F-40E6-995B-2D95E0782462}" name="Tabell1" displayName="Tabell1" ref="A1:Y534" totalsRowShown="0" headerRowDxfId="7">
  <autoFilter ref="A1:Y534" xr:uid="{8259B497-21FB-42D9-86F8-D740CE5B5903}">
    <filterColumn colId="4">
      <filters>
        <filter val="Frankrike"/>
      </filters>
    </filterColumn>
  </autoFilter>
  <tableColumns count="25">
    <tableColumn id="2" xr3:uid="{DBD830B3-CFAF-4868-989D-DF87C82B7DC0}" name="Artikkelnr." dataDxfId="6"/>
    <tableColumn id="3" xr3:uid="{9EC4BDBC-8341-45C5-860A-C0721F1010FD}" name="Produsent"/>
    <tableColumn id="4" xr3:uid="{57FD9CC5-4FBA-46E0-9BAA-A19D709C3B79}" name="Produktnavn"/>
    <tableColumn id="5" xr3:uid="{0F0490ED-FB08-4127-9D56-78052DBD2783}" name="Årgang" dataDxfId="5"/>
    <tableColumn id="6" xr3:uid="{9705AC52-C7AF-4C7D-9A5E-50560D5A23AA}" name="Land"/>
    <tableColumn id="7" xr3:uid="{06F4885F-2DB1-4DF0-8760-D9258CF5343D}" name="Distrikt"/>
    <tableColumn id="8" xr3:uid="{D5E2AEF6-E30F-49AF-9E07-2402035234C9}" name="Kommune"/>
    <tableColumn id="9" xr3:uid="{B9BDB27A-AEC9-4136-8E1B-3DCC02162DEE}" name="Klassifikasjon"/>
    <tableColumn id="10" xr3:uid="{11838F55-C113-454C-A967-3FE416B58295}" name="Varetype" dataDxfId="4"/>
    <tableColumn id="11" xr3:uid="{01AB6527-2A26-43F6-A2AA-5F4D8A0D775B}" name="Volum" dataDxfId="3"/>
    <tableColumn id="12" xr3:uid="{97C3888F-098C-4D51-9E65-9FD57CF29D03}" name="Salgspris" dataDxfId="2"/>
    <tableColumn id="13" xr3:uid="{97F2C1F3-C161-438F-8E8E-0760A5C748F4}" name="Totalt antall"/>
    <tableColumn id="1" xr3:uid="{D2A3072C-7D04-4BC7-81B4-19DD0D4DA0A8}" name="Totalverdi" dataDxfId="1">
      <calculatedColumnFormula>Tabell1[[#This Row],[Salgspris]]*Tabell1[[#This Row],[Totalt antall]]</calculatedColumnFormula>
    </tableColumn>
    <tableColumn id="14" xr3:uid="{230DB5F7-4ADE-44E4-AF43-0CBDD4DC7645}" name="Fordeling Oslo, Aker Brygge"/>
    <tableColumn id="15" xr3:uid="{2D990AD8-C99E-4D89-8200-D2E27DD9BA33}" name="Fordeling Bergen, Valkendorfsgt."/>
    <tableColumn id="16" xr3:uid="{FE501C59-30AF-42FF-9599-5DEF92E6C1DA}" name="Fordeling Hamar"/>
    <tableColumn id="17" xr3:uid="{4766FC1F-F066-4CBB-B239-156988D3E22C}" name="Fordeling Sandnes, Sentrum"/>
    <tableColumn id="18" xr3:uid="{B32EA00F-2AEC-48B2-9177-9E4DA45D147C}" name="Fordeling Oslo, CC Vest"/>
    <tableColumn id="19" xr3:uid="{B2AF91CC-1368-44D9-A759-114F2777C956}" name="Fordeling Sandefjord"/>
    <tableColumn id="20" xr3:uid="{546EB570-8086-4F71-8B2D-E6EF1D2202CE}" name="Fordeling Trondheim, Valentinlyst"/>
    <tableColumn id="21" xr3:uid="{B8A7601B-32DD-4CCD-8AD4-B68781E4DBD8}" name="Postkontor/ på dør"/>
    <tableColumn id="22" xr3:uid="{0DB3762A-E3CC-4835-8D54-74C84232CA90}" name="Fordeling Oslo, Skøyen"/>
    <tableColumn id="23" xr3:uid="{33868A51-0924-4FEB-B7A2-5AEAD65C1C52}" name="Fordeling Tromsø, Langnes"/>
    <tableColumn id="24" xr3:uid="{CF73DEBC-EE38-4D76-817D-3B3C7D1091A7}" name="Fordeling Bodø, City Nord"/>
    <tableColumn id="25" xr3:uid="{6BB38A7F-A29A-40E3-AD16-AED36E28A9DC}" name="Til kvotering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90F0-79DE-4D01-A5C5-39E1F12EDE6B}">
  <sheetPr>
    <pageSetUpPr fitToPage="1"/>
  </sheetPr>
  <dimension ref="A1:Y534"/>
  <sheetViews>
    <sheetView tabSelected="1" zoomScale="90" zoomScaleNormal="90" zoomScalePageLayoutView="60" workbookViewId="0">
      <selection activeCell="B3" sqref="B3"/>
    </sheetView>
  </sheetViews>
  <sheetFormatPr baseColWidth="10" defaultColWidth="11.42578125" defaultRowHeight="15" x14ac:dyDescent="0.25"/>
  <cols>
    <col min="1" max="1" width="11.5703125" customWidth="1"/>
    <col min="2" max="2" width="24" customWidth="1"/>
    <col min="3" max="3" width="32.85546875" customWidth="1"/>
    <col min="4" max="4" width="10.42578125" style="1" customWidth="1"/>
    <col min="7" max="7" width="21.28515625" customWidth="1"/>
    <col min="8" max="8" width="14" customWidth="1"/>
    <col min="9" max="9" width="10.85546875" customWidth="1"/>
    <col min="10" max="10" width="9.5703125" customWidth="1"/>
    <col min="11" max="11" width="15.7109375" style="7" customWidth="1"/>
    <col min="13" max="13" width="15.7109375" style="7" customWidth="1"/>
    <col min="14" max="23" width="13.140625" customWidth="1"/>
    <col min="24" max="24" width="16.42578125" style="3" customWidth="1"/>
    <col min="25" max="25" width="13.85546875" customWidth="1"/>
  </cols>
  <sheetData>
    <row r="1" spans="1:25" s="4" customFormat="1" ht="40.5" customHeight="1" x14ac:dyDescent="0.25">
      <c r="A1" s="4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6" t="s">
        <v>479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ht="32.1" customHeight="1" x14ac:dyDescent="0.25">
      <c r="A2" s="1">
        <v>12750801</v>
      </c>
      <c r="B2" t="s">
        <v>24</v>
      </c>
      <c r="C2" t="s">
        <v>25</v>
      </c>
      <c r="D2" s="1">
        <v>2018</v>
      </c>
      <c r="E2" t="s">
        <v>26</v>
      </c>
      <c r="F2" t="s">
        <v>27</v>
      </c>
      <c r="G2" t="s">
        <v>28</v>
      </c>
      <c r="H2" t="s">
        <v>29</v>
      </c>
      <c r="I2" s="1" t="s">
        <v>30</v>
      </c>
      <c r="J2" s="1">
        <v>0.75</v>
      </c>
      <c r="K2" s="7">
        <v>1232.8</v>
      </c>
      <c r="L2">
        <v>24</v>
      </c>
      <c r="M2" s="7">
        <f>Tabell1[[#This Row],[Salgspris]]*Tabell1[[#This Row],[Totalt antall]]</f>
        <v>29587.199999999997</v>
      </c>
      <c r="N2">
        <v>12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X2"/>
      <c r="Y2" s="3" t="s">
        <v>31</v>
      </c>
    </row>
    <row r="3" spans="1:25" ht="32.1" customHeight="1" x14ac:dyDescent="0.25">
      <c r="A3" s="1">
        <v>12749801</v>
      </c>
      <c r="B3" t="s">
        <v>24</v>
      </c>
      <c r="C3" t="s">
        <v>32</v>
      </c>
      <c r="D3" s="1">
        <v>2018</v>
      </c>
      <c r="E3" t="s">
        <v>26</v>
      </c>
      <c r="F3" t="s">
        <v>27</v>
      </c>
      <c r="G3" t="s">
        <v>28</v>
      </c>
      <c r="H3" t="s">
        <v>29</v>
      </c>
      <c r="I3" s="1" t="s">
        <v>30</v>
      </c>
      <c r="J3" s="1">
        <v>0.75</v>
      </c>
      <c r="K3" s="7">
        <v>980.3</v>
      </c>
      <c r="L3">
        <v>36</v>
      </c>
      <c r="M3" s="7">
        <f>Tabell1[[#This Row],[Salgspris]]*Tabell1[[#This Row],[Totalt antall]]</f>
        <v>35290.799999999996</v>
      </c>
      <c r="N3">
        <v>18</v>
      </c>
      <c r="O3">
        <v>3</v>
      </c>
      <c r="P3">
        <v>2</v>
      </c>
      <c r="Q3">
        <v>3</v>
      </c>
      <c r="S3">
        <v>2</v>
      </c>
      <c r="T3">
        <v>2</v>
      </c>
      <c r="U3">
        <v>3</v>
      </c>
      <c r="V3">
        <v>3</v>
      </c>
      <c r="X3"/>
      <c r="Y3" s="3" t="s">
        <v>31</v>
      </c>
    </row>
    <row r="4" spans="1:25" ht="32.1" customHeight="1" x14ac:dyDescent="0.25">
      <c r="A4" s="1">
        <v>12774901</v>
      </c>
      <c r="B4" t="s">
        <v>33</v>
      </c>
      <c r="C4" t="s">
        <v>34</v>
      </c>
      <c r="D4" s="1">
        <v>2018</v>
      </c>
      <c r="E4" t="s">
        <v>26</v>
      </c>
      <c r="F4" t="s">
        <v>27</v>
      </c>
      <c r="G4" t="s">
        <v>35</v>
      </c>
      <c r="H4" t="s">
        <v>29</v>
      </c>
      <c r="I4" s="1" t="s">
        <v>30</v>
      </c>
      <c r="J4" s="1">
        <v>0.75</v>
      </c>
      <c r="K4" s="7">
        <v>1015.3</v>
      </c>
      <c r="L4">
        <v>18</v>
      </c>
      <c r="M4" s="7">
        <f>Tabell1[[#This Row],[Salgspris]]*Tabell1[[#This Row],[Totalt antall]]</f>
        <v>18275.399999999998</v>
      </c>
      <c r="N4">
        <v>9</v>
      </c>
      <c r="O4">
        <v>2</v>
      </c>
      <c r="Q4">
        <v>2</v>
      </c>
      <c r="U4">
        <v>3</v>
      </c>
      <c r="V4">
        <v>2</v>
      </c>
      <c r="X4"/>
      <c r="Y4" s="3"/>
    </row>
    <row r="5" spans="1:25" ht="32.1" customHeight="1" x14ac:dyDescent="0.25">
      <c r="A5" s="1">
        <v>12774601</v>
      </c>
      <c r="B5" t="s">
        <v>33</v>
      </c>
      <c r="C5" t="s">
        <v>36</v>
      </c>
      <c r="D5" s="1">
        <v>2018</v>
      </c>
      <c r="E5" t="s">
        <v>26</v>
      </c>
      <c r="F5" t="s">
        <v>27</v>
      </c>
      <c r="G5" t="s">
        <v>37</v>
      </c>
      <c r="H5" t="s">
        <v>38</v>
      </c>
      <c r="I5" s="1" t="s">
        <v>30</v>
      </c>
      <c r="J5" s="1">
        <v>0.75</v>
      </c>
      <c r="K5" s="7">
        <v>1829</v>
      </c>
      <c r="L5">
        <v>60</v>
      </c>
      <c r="M5" s="7">
        <f>Tabell1[[#This Row],[Salgspris]]*Tabell1[[#This Row],[Totalt antall]]</f>
        <v>109740</v>
      </c>
      <c r="N5">
        <v>18</v>
      </c>
      <c r="O5">
        <v>6</v>
      </c>
      <c r="P5">
        <v>3</v>
      </c>
      <c r="Q5">
        <v>6</v>
      </c>
      <c r="R5">
        <v>3</v>
      </c>
      <c r="S5">
        <v>3</v>
      </c>
      <c r="T5">
        <v>3</v>
      </c>
      <c r="U5">
        <v>15</v>
      </c>
      <c r="V5">
        <v>3</v>
      </c>
      <c r="X5"/>
      <c r="Y5" s="3"/>
    </row>
    <row r="6" spans="1:25" ht="32.1" customHeight="1" x14ac:dyDescent="0.25">
      <c r="A6" s="1">
        <v>12774701</v>
      </c>
      <c r="B6" t="s">
        <v>33</v>
      </c>
      <c r="C6" t="s">
        <v>39</v>
      </c>
      <c r="D6" s="1">
        <v>2018</v>
      </c>
      <c r="E6" t="s">
        <v>26</v>
      </c>
      <c r="F6" t="s">
        <v>27</v>
      </c>
      <c r="G6" t="s">
        <v>37</v>
      </c>
      <c r="H6" t="s">
        <v>38</v>
      </c>
      <c r="I6" s="1" t="s">
        <v>30</v>
      </c>
      <c r="J6" s="1">
        <v>0.75</v>
      </c>
      <c r="K6" s="7">
        <v>2420.9</v>
      </c>
      <c r="L6">
        <v>24</v>
      </c>
      <c r="M6" s="7">
        <f>Tabell1[[#This Row],[Salgspris]]*Tabell1[[#This Row],[Totalt antall]]</f>
        <v>58101.600000000006</v>
      </c>
      <c r="N6">
        <v>12</v>
      </c>
      <c r="O6">
        <v>3</v>
      </c>
      <c r="Q6">
        <v>3</v>
      </c>
      <c r="U6">
        <v>3</v>
      </c>
      <c r="V6">
        <v>3</v>
      </c>
      <c r="X6"/>
      <c r="Y6" s="3"/>
    </row>
    <row r="7" spans="1:25" ht="32.1" customHeight="1" x14ac:dyDescent="0.25">
      <c r="A7" s="1">
        <v>12776101</v>
      </c>
      <c r="B7" t="s">
        <v>40</v>
      </c>
      <c r="C7" t="s">
        <v>41</v>
      </c>
      <c r="D7" s="1">
        <v>2018</v>
      </c>
      <c r="E7" t="s">
        <v>26</v>
      </c>
      <c r="F7" t="s">
        <v>27</v>
      </c>
      <c r="G7" t="s">
        <v>42</v>
      </c>
      <c r="H7" t="s">
        <v>29</v>
      </c>
      <c r="I7" s="1" t="s">
        <v>30</v>
      </c>
      <c r="J7" s="1">
        <v>0.75</v>
      </c>
      <c r="K7" s="7">
        <v>1613.5</v>
      </c>
      <c r="L7">
        <v>60</v>
      </c>
      <c r="M7" s="7">
        <f>Tabell1[[#This Row],[Salgspris]]*Tabell1[[#This Row],[Totalt antall]]</f>
        <v>96810</v>
      </c>
      <c r="N7">
        <v>18</v>
      </c>
      <c r="O7">
        <v>6</v>
      </c>
      <c r="P7">
        <v>3</v>
      </c>
      <c r="Q7">
        <v>6</v>
      </c>
      <c r="R7">
        <v>3</v>
      </c>
      <c r="S7">
        <v>3</v>
      </c>
      <c r="T7">
        <v>3</v>
      </c>
      <c r="U7">
        <v>15</v>
      </c>
      <c r="V7">
        <v>3</v>
      </c>
      <c r="X7"/>
      <c r="Y7" s="3"/>
    </row>
    <row r="8" spans="1:25" ht="32.1" customHeight="1" x14ac:dyDescent="0.25">
      <c r="A8" s="1">
        <v>12723601</v>
      </c>
      <c r="B8" t="s">
        <v>43</v>
      </c>
      <c r="C8" t="s">
        <v>44</v>
      </c>
      <c r="D8" s="1">
        <v>2018</v>
      </c>
      <c r="E8" t="s">
        <v>26</v>
      </c>
      <c r="F8" t="s">
        <v>27</v>
      </c>
      <c r="I8" s="1" t="s">
        <v>45</v>
      </c>
      <c r="J8" s="1">
        <v>0.75</v>
      </c>
      <c r="K8" s="7">
        <v>397.3</v>
      </c>
      <c r="L8">
        <v>72</v>
      </c>
      <c r="M8" s="7">
        <f>Tabell1[[#This Row],[Salgspris]]*Tabell1[[#This Row],[Totalt antall]]</f>
        <v>28605.600000000002</v>
      </c>
      <c r="N8">
        <v>18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12</v>
      </c>
      <c r="V8">
        <v>6</v>
      </c>
      <c r="X8"/>
      <c r="Y8" s="3"/>
    </row>
    <row r="9" spans="1:25" ht="32.1" customHeight="1" x14ac:dyDescent="0.25">
      <c r="A9" s="1">
        <v>12724301</v>
      </c>
      <c r="B9" t="s">
        <v>43</v>
      </c>
      <c r="C9" t="s">
        <v>46</v>
      </c>
      <c r="D9" s="1">
        <v>2018</v>
      </c>
      <c r="E9" t="s">
        <v>26</v>
      </c>
      <c r="F9" t="s">
        <v>27</v>
      </c>
      <c r="G9" t="s">
        <v>47</v>
      </c>
      <c r="I9" s="1" t="s">
        <v>30</v>
      </c>
      <c r="J9" s="1">
        <v>0.75</v>
      </c>
      <c r="K9" s="7">
        <v>647.20000000000005</v>
      </c>
      <c r="L9">
        <v>120</v>
      </c>
      <c r="M9" s="7">
        <f>Tabell1[[#This Row],[Salgspris]]*Tabell1[[#This Row],[Totalt antall]]</f>
        <v>77664</v>
      </c>
      <c r="N9">
        <v>30</v>
      </c>
      <c r="O9">
        <v>12</v>
      </c>
      <c r="P9">
        <v>12</v>
      </c>
      <c r="Q9">
        <v>12</v>
      </c>
      <c r="R9">
        <v>12</v>
      </c>
      <c r="S9">
        <v>12</v>
      </c>
      <c r="T9">
        <v>12</v>
      </c>
      <c r="U9">
        <v>18</v>
      </c>
      <c r="X9"/>
      <c r="Y9" s="3"/>
    </row>
    <row r="10" spans="1:25" ht="32.1" customHeight="1" x14ac:dyDescent="0.25">
      <c r="A10" s="1">
        <v>12724201</v>
      </c>
      <c r="B10" t="s">
        <v>43</v>
      </c>
      <c r="C10" t="s">
        <v>48</v>
      </c>
      <c r="D10" s="1">
        <v>2018</v>
      </c>
      <c r="E10" t="s">
        <v>26</v>
      </c>
      <c r="F10" t="s">
        <v>27</v>
      </c>
      <c r="G10" t="s">
        <v>35</v>
      </c>
      <c r="H10" t="s">
        <v>38</v>
      </c>
      <c r="I10" s="1" t="s">
        <v>30</v>
      </c>
      <c r="J10" s="1">
        <v>0.75</v>
      </c>
      <c r="K10" s="7">
        <v>4171.8999999999996</v>
      </c>
      <c r="L10">
        <v>24</v>
      </c>
      <c r="M10" s="7">
        <f>Tabell1[[#This Row],[Salgspris]]*Tabell1[[#This Row],[Totalt antall]]</f>
        <v>100125.59999999999</v>
      </c>
      <c r="N10">
        <v>12</v>
      </c>
      <c r="O10">
        <v>3</v>
      </c>
      <c r="Q10">
        <v>3</v>
      </c>
      <c r="U10">
        <v>3</v>
      </c>
      <c r="V10">
        <v>3</v>
      </c>
      <c r="X10"/>
      <c r="Y10" s="3" t="s">
        <v>31</v>
      </c>
    </row>
    <row r="11" spans="1:25" ht="32.1" customHeight="1" x14ac:dyDescent="0.25">
      <c r="A11" s="1">
        <v>12724001</v>
      </c>
      <c r="B11" t="s">
        <v>43</v>
      </c>
      <c r="C11" t="s">
        <v>49</v>
      </c>
      <c r="D11" s="1">
        <v>2018</v>
      </c>
      <c r="E11" t="s">
        <v>26</v>
      </c>
      <c r="F11" t="s">
        <v>27</v>
      </c>
      <c r="G11" t="s">
        <v>35</v>
      </c>
      <c r="H11" t="s">
        <v>29</v>
      </c>
      <c r="I11" s="1" t="s">
        <v>30</v>
      </c>
      <c r="J11" s="1">
        <v>0.75</v>
      </c>
      <c r="K11" s="7">
        <v>1497.3</v>
      </c>
      <c r="L11">
        <v>24</v>
      </c>
      <c r="M11" s="7">
        <f>Tabell1[[#This Row],[Salgspris]]*Tabell1[[#This Row],[Totalt antall]]</f>
        <v>35935.199999999997</v>
      </c>
      <c r="N11">
        <v>12</v>
      </c>
      <c r="O11">
        <v>3</v>
      </c>
      <c r="Q11">
        <v>3</v>
      </c>
      <c r="U11">
        <v>3</v>
      </c>
      <c r="V11">
        <v>3</v>
      </c>
      <c r="X11"/>
      <c r="Y11" s="3"/>
    </row>
    <row r="12" spans="1:25" ht="32.1" customHeight="1" x14ac:dyDescent="0.25">
      <c r="A12" s="1">
        <v>12723701</v>
      </c>
      <c r="B12" t="s">
        <v>43</v>
      </c>
      <c r="C12" t="s">
        <v>50</v>
      </c>
      <c r="D12" s="1">
        <v>2018</v>
      </c>
      <c r="E12" t="s">
        <v>26</v>
      </c>
      <c r="F12" t="s">
        <v>27</v>
      </c>
      <c r="G12" t="s">
        <v>35</v>
      </c>
      <c r="I12" s="1" t="s">
        <v>30</v>
      </c>
      <c r="J12" s="1">
        <v>0.75</v>
      </c>
      <c r="K12" s="7">
        <v>1408.2</v>
      </c>
      <c r="L12">
        <v>12</v>
      </c>
      <c r="M12" s="7">
        <f>Tabell1[[#This Row],[Salgspris]]*Tabell1[[#This Row],[Totalt antall]]</f>
        <v>16898.400000000001</v>
      </c>
      <c r="N12">
        <v>6</v>
      </c>
      <c r="O12">
        <v>2</v>
      </c>
      <c r="Q12">
        <v>2</v>
      </c>
      <c r="U12">
        <v>2</v>
      </c>
      <c r="X12"/>
      <c r="Y12" s="3"/>
    </row>
    <row r="13" spans="1:25" ht="32.1" customHeight="1" x14ac:dyDescent="0.25">
      <c r="A13" s="1">
        <v>12723901</v>
      </c>
      <c r="B13" t="s">
        <v>43</v>
      </c>
      <c r="C13" t="s">
        <v>51</v>
      </c>
      <c r="D13" s="1">
        <v>2018</v>
      </c>
      <c r="E13" t="s">
        <v>26</v>
      </c>
      <c r="F13" t="s">
        <v>27</v>
      </c>
      <c r="G13" t="s">
        <v>35</v>
      </c>
      <c r="I13" s="1" t="s">
        <v>30</v>
      </c>
      <c r="J13" s="1">
        <v>0.75</v>
      </c>
      <c r="K13" s="7">
        <v>986.1</v>
      </c>
      <c r="L13">
        <v>150</v>
      </c>
      <c r="M13" s="7">
        <f>Tabell1[[#This Row],[Salgspris]]*Tabell1[[#This Row],[Totalt antall]]</f>
        <v>147915</v>
      </c>
      <c r="N13">
        <v>30</v>
      </c>
      <c r="O13">
        <v>12</v>
      </c>
      <c r="P13">
        <v>12</v>
      </c>
      <c r="Q13">
        <v>12</v>
      </c>
      <c r="R13">
        <v>12</v>
      </c>
      <c r="S13">
        <v>12</v>
      </c>
      <c r="T13">
        <v>12</v>
      </c>
      <c r="U13">
        <v>24</v>
      </c>
      <c r="V13">
        <v>12</v>
      </c>
      <c r="W13">
        <v>6</v>
      </c>
      <c r="X13">
        <v>6</v>
      </c>
      <c r="Y13" s="3"/>
    </row>
    <row r="14" spans="1:25" ht="32.1" customHeight="1" x14ac:dyDescent="0.25">
      <c r="A14" s="1">
        <v>12723801</v>
      </c>
      <c r="B14" t="s">
        <v>43</v>
      </c>
      <c r="C14" t="s">
        <v>52</v>
      </c>
      <c r="D14" s="1">
        <v>2018</v>
      </c>
      <c r="E14" t="s">
        <v>26</v>
      </c>
      <c r="F14" t="s">
        <v>27</v>
      </c>
      <c r="I14" s="1" t="s">
        <v>30</v>
      </c>
      <c r="J14" s="1">
        <v>0.75</v>
      </c>
      <c r="K14" s="7">
        <v>533.1</v>
      </c>
      <c r="L14">
        <v>120</v>
      </c>
      <c r="M14" s="7">
        <f>Tabell1[[#This Row],[Salgspris]]*Tabell1[[#This Row],[Totalt antall]]</f>
        <v>63972</v>
      </c>
      <c r="N14">
        <v>30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18</v>
      </c>
      <c r="X14"/>
      <c r="Y14" s="3"/>
    </row>
    <row r="15" spans="1:25" ht="32.1" customHeight="1" x14ac:dyDescent="0.25">
      <c r="A15" s="1">
        <v>12729701</v>
      </c>
      <c r="B15" t="s">
        <v>53</v>
      </c>
      <c r="C15" t="s">
        <v>54</v>
      </c>
      <c r="D15" s="1">
        <v>2018</v>
      </c>
      <c r="E15" t="s">
        <v>26</v>
      </c>
      <c r="F15" t="s">
        <v>27</v>
      </c>
      <c r="G15" t="s">
        <v>55</v>
      </c>
      <c r="H15" t="s">
        <v>29</v>
      </c>
      <c r="I15" s="1" t="s">
        <v>45</v>
      </c>
      <c r="J15" s="1">
        <v>0.75</v>
      </c>
      <c r="K15" s="7">
        <v>964.3</v>
      </c>
      <c r="L15">
        <v>36</v>
      </c>
      <c r="M15" s="7">
        <f>Tabell1[[#This Row],[Salgspris]]*Tabell1[[#This Row],[Totalt antall]]</f>
        <v>34714.799999999996</v>
      </c>
      <c r="N15">
        <v>18</v>
      </c>
      <c r="O15">
        <v>6</v>
      </c>
      <c r="Q15">
        <v>6</v>
      </c>
      <c r="U15">
        <v>6</v>
      </c>
      <c r="X15"/>
      <c r="Y15" s="3"/>
    </row>
    <row r="16" spans="1:25" ht="32.1" customHeight="1" x14ac:dyDescent="0.25">
      <c r="A16" s="1">
        <v>12729401</v>
      </c>
      <c r="B16" t="s">
        <v>53</v>
      </c>
      <c r="C16" t="s">
        <v>56</v>
      </c>
      <c r="D16" s="1">
        <v>2018</v>
      </c>
      <c r="E16" t="s">
        <v>26</v>
      </c>
      <c r="F16" t="s">
        <v>27</v>
      </c>
      <c r="G16" t="s">
        <v>57</v>
      </c>
      <c r="H16" t="s">
        <v>29</v>
      </c>
      <c r="I16" s="1" t="s">
        <v>45</v>
      </c>
      <c r="J16" s="1">
        <v>0.75</v>
      </c>
      <c r="K16" s="7">
        <v>1054.3</v>
      </c>
      <c r="L16">
        <v>24</v>
      </c>
      <c r="M16" s="7">
        <f>Tabell1[[#This Row],[Salgspris]]*Tabell1[[#This Row],[Totalt antall]]</f>
        <v>25303.199999999997</v>
      </c>
      <c r="N16">
        <v>12</v>
      </c>
      <c r="P16">
        <v>3</v>
      </c>
      <c r="R16">
        <v>3</v>
      </c>
      <c r="S16">
        <v>3</v>
      </c>
      <c r="T16">
        <v>3</v>
      </c>
      <c r="X16"/>
      <c r="Y16" s="3"/>
    </row>
    <row r="17" spans="1:25" ht="32.1" customHeight="1" x14ac:dyDescent="0.25">
      <c r="A17" s="1">
        <v>12729301</v>
      </c>
      <c r="B17" t="s">
        <v>53</v>
      </c>
      <c r="C17" t="s">
        <v>58</v>
      </c>
      <c r="D17" s="1">
        <v>2018</v>
      </c>
      <c r="E17" t="s">
        <v>26</v>
      </c>
      <c r="F17" t="s">
        <v>27</v>
      </c>
      <c r="G17" t="s">
        <v>57</v>
      </c>
      <c r="H17" t="s">
        <v>29</v>
      </c>
      <c r="I17" s="1" t="s">
        <v>45</v>
      </c>
      <c r="J17" s="1">
        <v>0.75</v>
      </c>
      <c r="K17" s="7">
        <v>799.3</v>
      </c>
      <c r="L17">
        <v>60</v>
      </c>
      <c r="M17" s="7">
        <f>Tabell1[[#This Row],[Salgspris]]*Tabell1[[#This Row],[Totalt antall]]</f>
        <v>47958</v>
      </c>
      <c r="N17">
        <v>18</v>
      </c>
      <c r="O17">
        <v>6</v>
      </c>
      <c r="P17">
        <v>3</v>
      </c>
      <c r="Q17">
        <v>6</v>
      </c>
      <c r="R17">
        <v>3</v>
      </c>
      <c r="S17">
        <v>3</v>
      </c>
      <c r="T17">
        <v>3</v>
      </c>
      <c r="U17">
        <v>12</v>
      </c>
      <c r="V17">
        <v>6</v>
      </c>
      <c r="X17"/>
      <c r="Y17" s="3"/>
    </row>
    <row r="18" spans="1:25" ht="32.1" customHeight="1" x14ac:dyDescent="0.25">
      <c r="A18" s="1">
        <v>12729501</v>
      </c>
      <c r="B18" t="s">
        <v>53</v>
      </c>
      <c r="C18" t="s">
        <v>59</v>
      </c>
      <c r="D18" s="1">
        <v>2018</v>
      </c>
      <c r="E18" t="s">
        <v>26</v>
      </c>
      <c r="F18" t="s">
        <v>27</v>
      </c>
      <c r="G18" t="s">
        <v>57</v>
      </c>
      <c r="H18" t="s">
        <v>29</v>
      </c>
      <c r="I18" s="1" t="s">
        <v>45</v>
      </c>
      <c r="J18" s="1">
        <v>0.75</v>
      </c>
      <c r="K18" s="7">
        <v>1344.3</v>
      </c>
      <c r="L18">
        <v>24</v>
      </c>
      <c r="M18" s="7">
        <f>Tabell1[[#This Row],[Salgspris]]*Tabell1[[#This Row],[Totalt antall]]</f>
        <v>32263.199999999997</v>
      </c>
      <c r="N18">
        <v>12</v>
      </c>
      <c r="O18">
        <v>3</v>
      </c>
      <c r="Q18">
        <v>3</v>
      </c>
      <c r="U18">
        <v>3</v>
      </c>
      <c r="V18">
        <v>3</v>
      </c>
      <c r="X18"/>
      <c r="Y18" s="3"/>
    </row>
    <row r="19" spans="1:25" ht="32.1" customHeight="1" x14ac:dyDescent="0.25">
      <c r="A19" s="1">
        <v>12729201</v>
      </c>
      <c r="B19" t="s">
        <v>53</v>
      </c>
      <c r="C19" t="s">
        <v>60</v>
      </c>
      <c r="D19" s="1">
        <v>2018</v>
      </c>
      <c r="E19" t="s">
        <v>26</v>
      </c>
      <c r="F19" t="s">
        <v>27</v>
      </c>
      <c r="I19" s="1" t="s">
        <v>45</v>
      </c>
      <c r="J19" s="1">
        <v>0.75</v>
      </c>
      <c r="K19" s="7">
        <v>439.3</v>
      </c>
      <c r="L19">
        <v>360</v>
      </c>
      <c r="M19" s="7">
        <f>Tabell1[[#This Row],[Salgspris]]*Tabell1[[#This Row],[Totalt antall]]</f>
        <v>158148</v>
      </c>
      <c r="N19">
        <v>72</v>
      </c>
      <c r="O19">
        <v>36</v>
      </c>
      <c r="P19">
        <v>24</v>
      </c>
      <c r="Q19">
        <v>36</v>
      </c>
      <c r="R19">
        <v>24</v>
      </c>
      <c r="S19">
        <v>24</v>
      </c>
      <c r="T19">
        <v>24</v>
      </c>
      <c r="U19">
        <v>48</v>
      </c>
      <c r="V19">
        <v>48</v>
      </c>
      <c r="W19">
        <v>12</v>
      </c>
      <c r="X19">
        <v>12</v>
      </c>
      <c r="Y19" s="3"/>
    </row>
    <row r="20" spans="1:25" ht="32.1" customHeight="1" x14ac:dyDescent="0.25">
      <c r="A20" s="1">
        <v>10754901</v>
      </c>
      <c r="B20" t="s">
        <v>61</v>
      </c>
      <c r="C20" t="s">
        <v>62</v>
      </c>
      <c r="D20" s="1">
        <v>2018</v>
      </c>
      <c r="E20" t="s">
        <v>26</v>
      </c>
      <c r="F20" t="s">
        <v>27</v>
      </c>
      <c r="G20" t="s">
        <v>63</v>
      </c>
      <c r="H20" t="s">
        <v>38</v>
      </c>
      <c r="I20" s="1" t="s">
        <v>30</v>
      </c>
      <c r="J20" s="1">
        <v>0.75</v>
      </c>
      <c r="K20" s="7">
        <v>3400.3</v>
      </c>
      <c r="L20">
        <v>18</v>
      </c>
      <c r="M20" s="7">
        <f>Tabell1[[#This Row],[Salgspris]]*Tabell1[[#This Row],[Totalt antall]]</f>
        <v>61205.4</v>
      </c>
      <c r="N20">
        <v>9</v>
      </c>
      <c r="O20">
        <v>2</v>
      </c>
      <c r="P20">
        <v>1</v>
      </c>
      <c r="Q20">
        <v>2</v>
      </c>
      <c r="S20">
        <v>1</v>
      </c>
      <c r="T20">
        <v>1</v>
      </c>
      <c r="U20">
        <v>2</v>
      </c>
      <c r="X20"/>
      <c r="Y20" s="3"/>
    </row>
    <row r="21" spans="1:25" ht="32.1" customHeight="1" x14ac:dyDescent="0.25">
      <c r="A21" s="1">
        <v>10754801</v>
      </c>
      <c r="B21" t="s">
        <v>61</v>
      </c>
      <c r="C21" t="s">
        <v>64</v>
      </c>
      <c r="D21" s="1">
        <v>2018</v>
      </c>
      <c r="E21" t="s">
        <v>26</v>
      </c>
      <c r="F21" t="s">
        <v>27</v>
      </c>
      <c r="G21" t="s">
        <v>35</v>
      </c>
      <c r="H21" t="s">
        <v>38</v>
      </c>
      <c r="I21" s="1" t="s">
        <v>30</v>
      </c>
      <c r="J21" s="1">
        <v>0.75</v>
      </c>
      <c r="K21" s="7">
        <v>4199.8999999999996</v>
      </c>
      <c r="L21">
        <v>12</v>
      </c>
      <c r="M21" s="7">
        <f>Tabell1[[#This Row],[Salgspris]]*Tabell1[[#This Row],[Totalt antall]]</f>
        <v>50398.799999999996</v>
      </c>
      <c r="N21">
        <v>6</v>
      </c>
      <c r="O21">
        <v>2</v>
      </c>
      <c r="Q21">
        <v>2</v>
      </c>
      <c r="U21">
        <v>1</v>
      </c>
      <c r="V21">
        <v>1</v>
      </c>
      <c r="X21"/>
      <c r="Y21" s="3"/>
    </row>
    <row r="22" spans="1:25" ht="32.1" customHeight="1" x14ac:dyDescent="0.25">
      <c r="A22" s="1">
        <v>12729001</v>
      </c>
      <c r="B22" t="s">
        <v>65</v>
      </c>
      <c r="C22" t="s">
        <v>66</v>
      </c>
      <c r="D22" s="1">
        <v>2018</v>
      </c>
      <c r="E22" t="s">
        <v>26</v>
      </c>
      <c r="F22" t="s">
        <v>27</v>
      </c>
      <c r="G22" t="s">
        <v>67</v>
      </c>
      <c r="H22" t="s">
        <v>29</v>
      </c>
      <c r="I22" s="1" t="s">
        <v>30</v>
      </c>
      <c r="J22" s="1">
        <v>0.75</v>
      </c>
      <c r="K22" s="7">
        <v>949.3</v>
      </c>
      <c r="L22">
        <v>6</v>
      </c>
      <c r="M22" s="7">
        <f>Tabell1[[#This Row],[Salgspris]]*Tabell1[[#This Row],[Totalt antall]]</f>
        <v>5695.7999999999993</v>
      </c>
      <c r="N22">
        <v>3</v>
      </c>
      <c r="O22">
        <v>1</v>
      </c>
      <c r="Q22">
        <v>1</v>
      </c>
      <c r="V22">
        <v>1</v>
      </c>
      <c r="X22"/>
      <c r="Y22" s="3"/>
    </row>
    <row r="23" spans="1:25" ht="32.1" customHeight="1" x14ac:dyDescent="0.25">
      <c r="A23" s="1">
        <v>12728601</v>
      </c>
      <c r="B23" t="s">
        <v>65</v>
      </c>
      <c r="C23" t="s">
        <v>68</v>
      </c>
      <c r="D23" s="1">
        <v>2018</v>
      </c>
      <c r="E23" t="s">
        <v>26</v>
      </c>
      <c r="F23" t="s">
        <v>27</v>
      </c>
      <c r="G23" t="s">
        <v>69</v>
      </c>
      <c r="H23" t="s">
        <v>29</v>
      </c>
      <c r="I23" s="1" t="s">
        <v>30</v>
      </c>
      <c r="J23" s="1">
        <v>0.75</v>
      </c>
      <c r="K23" s="7">
        <v>769.3</v>
      </c>
      <c r="L23">
        <v>30</v>
      </c>
      <c r="M23" s="7">
        <f>Tabell1[[#This Row],[Salgspris]]*Tabell1[[#This Row],[Totalt antall]]</f>
        <v>23079</v>
      </c>
      <c r="N23">
        <v>12</v>
      </c>
      <c r="O23">
        <v>6</v>
      </c>
      <c r="Q23">
        <v>6</v>
      </c>
      <c r="U23">
        <v>6</v>
      </c>
      <c r="X23"/>
      <c r="Y23" s="3"/>
    </row>
    <row r="24" spans="1:25" ht="32.1" customHeight="1" x14ac:dyDescent="0.25">
      <c r="A24" s="1">
        <v>12728401</v>
      </c>
      <c r="B24" t="s">
        <v>65</v>
      </c>
      <c r="C24" t="s">
        <v>70</v>
      </c>
      <c r="D24" s="1">
        <v>2018</v>
      </c>
      <c r="E24" t="s">
        <v>26</v>
      </c>
      <c r="F24" t="s">
        <v>27</v>
      </c>
      <c r="G24" t="s">
        <v>69</v>
      </c>
      <c r="I24" s="1" t="s">
        <v>30</v>
      </c>
      <c r="J24" s="1">
        <v>0.75</v>
      </c>
      <c r="K24" s="7">
        <v>529.4</v>
      </c>
      <c r="L24">
        <v>180</v>
      </c>
      <c r="M24" s="7">
        <f>Tabell1[[#This Row],[Salgspris]]*Tabell1[[#This Row],[Totalt antall]]</f>
        <v>95292</v>
      </c>
      <c r="N24">
        <v>30</v>
      </c>
      <c r="O24">
        <v>18</v>
      </c>
      <c r="P24">
        <v>12</v>
      </c>
      <c r="Q24">
        <v>18</v>
      </c>
      <c r="R24">
        <v>12</v>
      </c>
      <c r="S24">
        <v>12</v>
      </c>
      <c r="T24">
        <v>12</v>
      </c>
      <c r="U24">
        <v>30</v>
      </c>
      <c r="V24">
        <v>24</v>
      </c>
      <c r="W24">
        <v>6</v>
      </c>
      <c r="X24">
        <v>6</v>
      </c>
      <c r="Y24" s="3"/>
    </row>
    <row r="25" spans="1:25" ht="32.1" customHeight="1" x14ac:dyDescent="0.25">
      <c r="A25" s="1">
        <v>12728501</v>
      </c>
      <c r="B25" t="s">
        <v>65</v>
      </c>
      <c r="C25" t="s">
        <v>71</v>
      </c>
      <c r="D25" s="1">
        <v>2018</v>
      </c>
      <c r="E25" t="s">
        <v>26</v>
      </c>
      <c r="F25" t="s">
        <v>27</v>
      </c>
      <c r="G25" t="s">
        <v>69</v>
      </c>
      <c r="I25" s="1" t="s">
        <v>30</v>
      </c>
      <c r="J25" s="1">
        <v>0.75</v>
      </c>
      <c r="K25" s="7">
        <v>599.29999999999995</v>
      </c>
      <c r="L25">
        <v>108</v>
      </c>
      <c r="M25" s="7">
        <f>Tabell1[[#This Row],[Salgspris]]*Tabell1[[#This Row],[Totalt antall]]</f>
        <v>64724.399999999994</v>
      </c>
      <c r="N25">
        <v>24</v>
      </c>
      <c r="O25">
        <v>12</v>
      </c>
      <c r="P25">
        <v>6</v>
      </c>
      <c r="Q25">
        <v>12</v>
      </c>
      <c r="R25">
        <v>12</v>
      </c>
      <c r="S25">
        <v>6</v>
      </c>
      <c r="T25">
        <v>6</v>
      </c>
      <c r="U25">
        <v>24</v>
      </c>
      <c r="V25">
        <v>6</v>
      </c>
      <c r="X25"/>
      <c r="Y25" s="3"/>
    </row>
    <row r="26" spans="1:25" ht="32.1" customHeight="1" x14ac:dyDescent="0.25">
      <c r="A26" s="1">
        <v>12728701</v>
      </c>
      <c r="B26" t="s">
        <v>65</v>
      </c>
      <c r="C26" t="s">
        <v>72</v>
      </c>
      <c r="D26" s="1">
        <v>2018</v>
      </c>
      <c r="E26" t="s">
        <v>26</v>
      </c>
      <c r="F26" t="s">
        <v>27</v>
      </c>
      <c r="G26" t="s">
        <v>35</v>
      </c>
      <c r="H26" t="s">
        <v>29</v>
      </c>
      <c r="I26" s="1" t="s">
        <v>30</v>
      </c>
      <c r="J26" s="1">
        <v>0.75</v>
      </c>
      <c r="K26" s="7">
        <v>919.3</v>
      </c>
      <c r="L26">
        <v>6</v>
      </c>
      <c r="M26" s="7">
        <f>Tabell1[[#This Row],[Salgspris]]*Tabell1[[#This Row],[Totalt antall]]</f>
        <v>5515.7999999999993</v>
      </c>
      <c r="N26">
        <v>3</v>
      </c>
      <c r="O26">
        <v>1</v>
      </c>
      <c r="Q26">
        <v>1</v>
      </c>
      <c r="R26">
        <v>1</v>
      </c>
      <c r="X26"/>
      <c r="Y26" s="3"/>
    </row>
    <row r="27" spans="1:25" ht="32.1" customHeight="1" x14ac:dyDescent="0.25">
      <c r="A27" s="1">
        <v>12728801</v>
      </c>
      <c r="B27" t="s">
        <v>65</v>
      </c>
      <c r="C27" t="s">
        <v>73</v>
      </c>
      <c r="D27" s="1">
        <v>2018</v>
      </c>
      <c r="E27" t="s">
        <v>26</v>
      </c>
      <c r="F27" t="s">
        <v>27</v>
      </c>
      <c r="G27" t="s">
        <v>74</v>
      </c>
      <c r="H27" t="s">
        <v>29</v>
      </c>
      <c r="I27" s="1" t="s">
        <v>30</v>
      </c>
      <c r="J27" s="1">
        <v>0.75</v>
      </c>
      <c r="K27" s="7">
        <v>1054.3</v>
      </c>
      <c r="L27">
        <v>6</v>
      </c>
      <c r="M27" s="7">
        <f>Tabell1[[#This Row],[Salgspris]]*Tabell1[[#This Row],[Totalt antall]]</f>
        <v>6325.7999999999993</v>
      </c>
      <c r="N27">
        <v>3</v>
      </c>
      <c r="O27">
        <v>1</v>
      </c>
      <c r="Q27">
        <v>1</v>
      </c>
      <c r="R27">
        <v>1</v>
      </c>
      <c r="X27"/>
      <c r="Y27" s="3" t="s">
        <v>31</v>
      </c>
    </row>
    <row r="28" spans="1:25" ht="32.1" customHeight="1" x14ac:dyDescent="0.25">
      <c r="A28" s="1">
        <v>12728901</v>
      </c>
      <c r="B28" t="s">
        <v>65</v>
      </c>
      <c r="C28" t="s">
        <v>75</v>
      </c>
      <c r="D28" s="1">
        <v>2018</v>
      </c>
      <c r="E28" t="s">
        <v>26</v>
      </c>
      <c r="F28" t="s">
        <v>27</v>
      </c>
      <c r="G28" t="s">
        <v>74</v>
      </c>
      <c r="H28" t="s">
        <v>29</v>
      </c>
      <c r="I28" s="1" t="s">
        <v>30</v>
      </c>
      <c r="J28" s="1">
        <v>0.75</v>
      </c>
      <c r="K28" s="7">
        <v>1089.3</v>
      </c>
      <c r="L28">
        <v>6</v>
      </c>
      <c r="M28" s="7">
        <f>Tabell1[[#This Row],[Salgspris]]*Tabell1[[#This Row],[Totalt antall]]</f>
        <v>6535.7999999999993</v>
      </c>
      <c r="N28">
        <v>3</v>
      </c>
      <c r="O28">
        <v>1</v>
      </c>
      <c r="Q28">
        <v>1</v>
      </c>
      <c r="V28">
        <v>1</v>
      </c>
      <c r="X28"/>
      <c r="Y28" s="3" t="s">
        <v>31</v>
      </c>
    </row>
    <row r="29" spans="1:25" ht="32.1" customHeight="1" x14ac:dyDescent="0.25">
      <c r="A29" s="1">
        <v>12729101</v>
      </c>
      <c r="B29" t="s">
        <v>65</v>
      </c>
      <c r="C29" t="s">
        <v>76</v>
      </c>
      <c r="D29" s="1">
        <v>2018</v>
      </c>
      <c r="E29" t="s">
        <v>26</v>
      </c>
      <c r="F29" t="s">
        <v>27</v>
      </c>
      <c r="G29" t="s">
        <v>77</v>
      </c>
      <c r="H29" t="s">
        <v>38</v>
      </c>
      <c r="I29" s="1" t="s">
        <v>30</v>
      </c>
      <c r="J29" s="1">
        <v>0.75</v>
      </c>
      <c r="K29" s="7">
        <v>1644.3</v>
      </c>
      <c r="L29">
        <v>6</v>
      </c>
      <c r="M29" s="7">
        <f>Tabell1[[#This Row],[Salgspris]]*Tabell1[[#This Row],[Totalt antall]]</f>
        <v>9865.7999999999993</v>
      </c>
      <c r="N29">
        <v>3</v>
      </c>
      <c r="O29">
        <v>1</v>
      </c>
      <c r="Q29">
        <v>1</v>
      </c>
      <c r="V29">
        <v>1</v>
      </c>
      <c r="X29"/>
      <c r="Y29" s="3"/>
    </row>
    <row r="30" spans="1:25" ht="32.1" customHeight="1" x14ac:dyDescent="0.25">
      <c r="A30" s="1">
        <v>12728301</v>
      </c>
      <c r="B30" t="s">
        <v>65</v>
      </c>
      <c r="C30" t="s">
        <v>78</v>
      </c>
      <c r="D30" s="1">
        <v>2018</v>
      </c>
      <c r="E30" t="s">
        <v>26</v>
      </c>
      <c r="F30" t="s">
        <v>27</v>
      </c>
      <c r="I30" s="1" t="s">
        <v>30</v>
      </c>
      <c r="J30" s="1">
        <v>0.75</v>
      </c>
      <c r="K30" s="7">
        <v>389.3</v>
      </c>
      <c r="L30">
        <v>96</v>
      </c>
      <c r="M30" s="7">
        <f>Tabell1[[#This Row],[Salgspris]]*Tabell1[[#This Row],[Totalt antall]]</f>
        <v>37372.800000000003</v>
      </c>
      <c r="N30">
        <v>18</v>
      </c>
      <c r="O30">
        <v>12</v>
      </c>
      <c r="P30">
        <v>6</v>
      </c>
      <c r="Q30">
        <v>12</v>
      </c>
      <c r="R30">
        <v>6</v>
      </c>
      <c r="S30">
        <v>6</v>
      </c>
      <c r="T30">
        <v>6</v>
      </c>
      <c r="U30">
        <v>24</v>
      </c>
      <c r="V30">
        <v>6</v>
      </c>
      <c r="X30"/>
      <c r="Y30" s="3"/>
    </row>
    <row r="31" spans="1:25" ht="32.1" customHeight="1" x14ac:dyDescent="0.25">
      <c r="A31" s="1">
        <v>12768101</v>
      </c>
      <c r="B31" t="s">
        <v>79</v>
      </c>
      <c r="C31" t="s">
        <v>67</v>
      </c>
      <c r="D31" s="1">
        <v>2018</v>
      </c>
      <c r="E31" t="s">
        <v>26</v>
      </c>
      <c r="F31" t="s">
        <v>27</v>
      </c>
      <c r="G31" t="s">
        <v>67</v>
      </c>
      <c r="I31" s="1" t="s">
        <v>30</v>
      </c>
      <c r="J31" s="1">
        <v>0.75</v>
      </c>
      <c r="K31" s="7">
        <v>859.4</v>
      </c>
      <c r="L31">
        <v>60</v>
      </c>
      <c r="M31" s="7">
        <f>Tabell1[[#This Row],[Salgspris]]*Tabell1[[#This Row],[Totalt antall]]</f>
        <v>51564</v>
      </c>
      <c r="N31">
        <v>18</v>
      </c>
      <c r="O31">
        <v>6</v>
      </c>
      <c r="P31">
        <v>3</v>
      </c>
      <c r="Q31">
        <v>6</v>
      </c>
      <c r="S31">
        <v>3</v>
      </c>
      <c r="T31">
        <v>3</v>
      </c>
      <c r="U31">
        <v>12</v>
      </c>
      <c r="V31">
        <v>9</v>
      </c>
      <c r="X31"/>
      <c r="Y31" s="3"/>
    </row>
    <row r="32" spans="1:25" ht="32.1" customHeight="1" x14ac:dyDescent="0.25">
      <c r="A32" s="1">
        <v>12767301</v>
      </c>
      <c r="B32" t="s">
        <v>79</v>
      </c>
      <c r="C32" t="s">
        <v>80</v>
      </c>
      <c r="D32" s="1">
        <v>2018</v>
      </c>
      <c r="E32" t="s">
        <v>26</v>
      </c>
      <c r="F32" t="s">
        <v>27</v>
      </c>
      <c r="G32" t="s">
        <v>67</v>
      </c>
      <c r="H32" t="s">
        <v>29</v>
      </c>
      <c r="I32" s="1" t="s">
        <v>30</v>
      </c>
      <c r="J32" s="1">
        <v>0.75</v>
      </c>
      <c r="K32" s="7">
        <v>3462.5</v>
      </c>
      <c r="L32">
        <v>12</v>
      </c>
      <c r="M32" s="7">
        <f>Tabell1[[#This Row],[Salgspris]]*Tabell1[[#This Row],[Totalt antall]]</f>
        <v>41550</v>
      </c>
      <c r="N32">
        <v>6</v>
      </c>
      <c r="O32">
        <v>2</v>
      </c>
      <c r="Q32">
        <v>2</v>
      </c>
      <c r="V32">
        <v>2</v>
      </c>
      <c r="X32"/>
      <c r="Y32" s="3"/>
    </row>
    <row r="33" spans="1:25" ht="32.1" customHeight="1" x14ac:dyDescent="0.25">
      <c r="A33" s="1">
        <v>12768201</v>
      </c>
      <c r="B33" t="s">
        <v>79</v>
      </c>
      <c r="C33" t="s">
        <v>81</v>
      </c>
      <c r="D33" s="1">
        <v>2018</v>
      </c>
      <c r="E33" t="s">
        <v>26</v>
      </c>
      <c r="F33" t="s">
        <v>27</v>
      </c>
      <c r="G33" t="s">
        <v>67</v>
      </c>
      <c r="H33" t="s">
        <v>29</v>
      </c>
      <c r="I33" s="1" t="s">
        <v>30</v>
      </c>
      <c r="J33" s="1">
        <v>0.75</v>
      </c>
      <c r="K33" s="7">
        <v>1452.2</v>
      </c>
      <c r="L33">
        <v>36</v>
      </c>
      <c r="M33" s="7">
        <f>Tabell1[[#This Row],[Salgspris]]*Tabell1[[#This Row],[Totalt antall]]</f>
        <v>52279.200000000004</v>
      </c>
      <c r="N33">
        <v>15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X33"/>
      <c r="Y33" s="3"/>
    </row>
    <row r="34" spans="1:25" ht="32.1" customHeight="1" x14ac:dyDescent="0.25">
      <c r="A34" s="1">
        <v>12768001</v>
      </c>
      <c r="B34" t="s">
        <v>79</v>
      </c>
      <c r="C34" t="s">
        <v>82</v>
      </c>
      <c r="D34" s="1">
        <v>2018</v>
      </c>
      <c r="E34" t="s">
        <v>26</v>
      </c>
      <c r="F34" t="s">
        <v>27</v>
      </c>
      <c r="G34" t="s">
        <v>67</v>
      </c>
      <c r="H34" t="s">
        <v>29</v>
      </c>
      <c r="I34" s="1" t="s">
        <v>30</v>
      </c>
      <c r="J34" s="1">
        <v>0.75</v>
      </c>
      <c r="K34" s="7">
        <v>1049.5999999999999</v>
      </c>
      <c r="L34">
        <v>60</v>
      </c>
      <c r="M34" s="7">
        <f>Tabell1[[#This Row],[Salgspris]]*Tabell1[[#This Row],[Totalt antall]]</f>
        <v>62975.999999999993</v>
      </c>
      <c r="N34">
        <v>18</v>
      </c>
      <c r="O34">
        <v>6</v>
      </c>
      <c r="P34">
        <v>3</v>
      </c>
      <c r="Q34">
        <v>6</v>
      </c>
      <c r="R34">
        <v>3</v>
      </c>
      <c r="S34">
        <v>3</v>
      </c>
      <c r="T34">
        <v>3</v>
      </c>
      <c r="U34">
        <v>9</v>
      </c>
      <c r="V34">
        <v>3</v>
      </c>
      <c r="W34">
        <v>3</v>
      </c>
      <c r="X34">
        <v>3</v>
      </c>
      <c r="Y34" s="3"/>
    </row>
    <row r="35" spans="1:25" ht="32.1" customHeight="1" x14ac:dyDescent="0.25">
      <c r="A35" s="1">
        <v>12767901</v>
      </c>
      <c r="B35" t="s">
        <v>79</v>
      </c>
      <c r="C35" t="s">
        <v>83</v>
      </c>
      <c r="D35" s="1">
        <v>2018</v>
      </c>
      <c r="E35" t="s">
        <v>26</v>
      </c>
      <c r="F35" t="s">
        <v>27</v>
      </c>
      <c r="G35" t="s">
        <v>84</v>
      </c>
      <c r="H35" t="s">
        <v>38</v>
      </c>
      <c r="I35" s="1" t="s">
        <v>30</v>
      </c>
      <c r="J35" s="1">
        <v>0.75</v>
      </c>
      <c r="K35" s="7">
        <v>3812.5</v>
      </c>
      <c r="L35">
        <v>6</v>
      </c>
      <c r="M35" s="7">
        <f>Tabell1[[#This Row],[Salgspris]]*Tabell1[[#This Row],[Totalt antall]]</f>
        <v>22875</v>
      </c>
      <c r="N35">
        <v>3</v>
      </c>
      <c r="O35">
        <v>1</v>
      </c>
      <c r="Q35">
        <v>1</v>
      </c>
      <c r="V35">
        <v>1</v>
      </c>
      <c r="X35"/>
      <c r="Y35" s="3"/>
    </row>
    <row r="36" spans="1:25" ht="32.1" customHeight="1" x14ac:dyDescent="0.25">
      <c r="A36" s="1">
        <v>12702501</v>
      </c>
      <c r="B36" t="s">
        <v>85</v>
      </c>
      <c r="C36" t="s">
        <v>55</v>
      </c>
      <c r="D36" s="1">
        <v>2018</v>
      </c>
      <c r="E36" t="s">
        <v>26</v>
      </c>
      <c r="F36" t="s">
        <v>27</v>
      </c>
      <c r="G36" t="s">
        <v>55</v>
      </c>
      <c r="I36" s="1" t="s">
        <v>45</v>
      </c>
      <c r="J36" s="1">
        <v>0.75</v>
      </c>
      <c r="K36" s="7">
        <v>573.70000000000005</v>
      </c>
      <c r="L36">
        <v>96</v>
      </c>
      <c r="M36" s="7">
        <f>Tabell1[[#This Row],[Salgspris]]*Tabell1[[#This Row],[Totalt antall]]</f>
        <v>55075.200000000004</v>
      </c>
      <c r="N36">
        <v>30</v>
      </c>
      <c r="O36">
        <v>12</v>
      </c>
      <c r="P36">
        <v>6</v>
      </c>
      <c r="Q36">
        <v>6</v>
      </c>
      <c r="R36">
        <v>6</v>
      </c>
      <c r="S36">
        <v>6</v>
      </c>
      <c r="T36">
        <v>6</v>
      </c>
      <c r="U36">
        <v>18</v>
      </c>
      <c r="V36">
        <v>6</v>
      </c>
      <c r="X36"/>
      <c r="Y36" s="3"/>
    </row>
    <row r="37" spans="1:25" ht="32.1" customHeight="1" x14ac:dyDescent="0.25">
      <c r="A37" s="1">
        <v>12702701</v>
      </c>
      <c r="B37" t="s">
        <v>85</v>
      </c>
      <c r="C37" t="s">
        <v>55</v>
      </c>
      <c r="D37" s="1">
        <v>2018</v>
      </c>
      <c r="E37" t="s">
        <v>26</v>
      </c>
      <c r="F37" t="s">
        <v>27</v>
      </c>
      <c r="G37" t="s">
        <v>55</v>
      </c>
      <c r="I37" s="1" t="s">
        <v>30</v>
      </c>
      <c r="J37" s="1">
        <v>0.75</v>
      </c>
      <c r="K37" s="7">
        <v>461.2</v>
      </c>
      <c r="L37">
        <v>96</v>
      </c>
      <c r="M37" s="7">
        <f>Tabell1[[#This Row],[Salgspris]]*Tabell1[[#This Row],[Totalt antall]]</f>
        <v>44275.199999999997</v>
      </c>
      <c r="N37">
        <v>30</v>
      </c>
      <c r="O37">
        <v>6</v>
      </c>
      <c r="P37">
        <v>6</v>
      </c>
      <c r="Q37">
        <v>12</v>
      </c>
      <c r="R37">
        <v>6</v>
      </c>
      <c r="S37">
        <v>6</v>
      </c>
      <c r="T37">
        <v>6</v>
      </c>
      <c r="U37">
        <v>18</v>
      </c>
      <c r="V37">
        <v>6</v>
      </c>
      <c r="X37"/>
      <c r="Y37" s="3"/>
    </row>
    <row r="38" spans="1:25" ht="32.1" customHeight="1" x14ac:dyDescent="0.25">
      <c r="A38" s="1">
        <v>12771801</v>
      </c>
      <c r="B38" t="s">
        <v>86</v>
      </c>
      <c r="C38" t="s">
        <v>87</v>
      </c>
      <c r="D38" s="1">
        <v>2018</v>
      </c>
      <c r="E38" t="s">
        <v>26</v>
      </c>
      <c r="F38" t="s">
        <v>27</v>
      </c>
      <c r="G38" t="s">
        <v>55</v>
      </c>
      <c r="H38" t="s">
        <v>29</v>
      </c>
      <c r="I38" s="1" t="s">
        <v>45</v>
      </c>
      <c r="J38" s="1">
        <v>0.75</v>
      </c>
      <c r="K38" s="7">
        <v>747.6</v>
      </c>
      <c r="L38">
        <v>60</v>
      </c>
      <c r="M38" s="7">
        <f>Tabell1[[#This Row],[Salgspris]]*Tabell1[[#This Row],[Totalt antall]]</f>
        <v>44856</v>
      </c>
      <c r="N38">
        <v>18</v>
      </c>
      <c r="O38">
        <v>6</v>
      </c>
      <c r="P38">
        <v>3</v>
      </c>
      <c r="Q38">
        <v>6</v>
      </c>
      <c r="R38">
        <v>3</v>
      </c>
      <c r="S38">
        <v>3</v>
      </c>
      <c r="T38">
        <v>3</v>
      </c>
      <c r="U38">
        <v>15</v>
      </c>
      <c r="V38">
        <v>3</v>
      </c>
      <c r="X38"/>
      <c r="Y38" s="3" t="s">
        <v>88</v>
      </c>
    </row>
    <row r="39" spans="1:25" ht="32.1" customHeight="1" x14ac:dyDescent="0.25">
      <c r="A39" s="1">
        <v>12771901</v>
      </c>
      <c r="B39" t="s">
        <v>86</v>
      </c>
      <c r="C39" t="s">
        <v>89</v>
      </c>
      <c r="D39" s="1">
        <v>2018</v>
      </c>
      <c r="E39" t="s">
        <v>26</v>
      </c>
      <c r="F39" t="s">
        <v>27</v>
      </c>
      <c r="G39" t="s">
        <v>55</v>
      </c>
      <c r="H39" t="s">
        <v>38</v>
      </c>
      <c r="I39" s="1" t="s">
        <v>45</v>
      </c>
      <c r="J39" s="1">
        <v>0.75</v>
      </c>
      <c r="K39" s="7">
        <v>2229.4</v>
      </c>
      <c r="L39">
        <v>24</v>
      </c>
      <c r="M39" s="7">
        <f>Tabell1[[#This Row],[Salgspris]]*Tabell1[[#This Row],[Totalt antall]]</f>
        <v>53505.600000000006</v>
      </c>
      <c r="N39">
        <v>12</v>
      </c>
      <c r="O39">
        <v>2</v>
      </c>
      <c r="P39">
        <v>1</v>
      </c>
      <c r="Q39">
        <v>2</v>
      </c>
      <c r="S39">
        <v>1</v>
      </c>
      <c r="T39">
        <v>1</v>
      </c>
      <c r="U39">
        <v>3</v>
      </c>
      <c r="V39">
        <v>2</v>
      </c>
      <c r="X39"/>
      <c r="Y39" s="3" t="s">
        <v>31</v>
      </c>
    </row>
    <row r="40" spans="1:25" ht="32.1" customHeight="1" x14ac:dyDescent="0.25">
      <c r="A40" s="1">
        <v>12772001</v>
      </c>
      <c r="B40" t="s">
        <v>86</v>
      </c>
      <c r="C40" t="s">
        <v>90</v>
      </c>
      <c r="D40" s="1">
        <v>2018</v>
      </c>
      <c r="E40" t="s">
        <v>26</v>
      </c>
      <c r="F40" t="s">
        <v>27</v>
      </c>
      <c r="G40" t="s">
        <v>91</v>
      </c>
      <c r="H40" t="s">
        <v>38</v>
      </c>
      <c r="I40" s="1" t="s">
        <v>45</v>
      </c>
      <c r="J40" s="1">
        <v>0.75</v>
      </c>
      <c r="K40" s="7">
        <v>2229.4</v>
      </c>
      <c r="L40">
        <v>18</v>
      </c>
      <c r="M40" s="7">
        <f>Tabell1[[#This Row],[Salgspris]]*Tabell1[[#This Row],[Totalt antall]]</f>
        <v>40129.200000000004</v>
      </c>
      <c r="N40">
        <v>9</v>
      </c>
      <c r="O40">
        <v>2</v>
      </c>
      <c r="Q40">
        <v>2</v>
      </c>
      <c r="U40">
        <v>3</v>
      </c>
      <c r="V40">
        <v>2</v>
      </c>
      <c r="X40"/>
      <c r="Y40" s="3" t="s">
        <v>31</v>
      </c>
    </row>
    <row r="41" spans="1:25" ht="32.1" customHeight="1" x14ac:dyDescent="0.25">
      <c r="A41" s="1">
        <v>12772501</v>
      </c>
      <c r="B41" t="s">
        <v>86</v>
      </c>
      <c r="C41" t="s">
        <v>92</v>
      </c>
      <c r="D41" s="1">
        <v>2018</v>
      </c>
      <c r="E41" t="s">
        <v>26</v>
      </c>
      <c r="F41" t="s">
        <v>27</v>
      </c>
      <c r="G41" t="s">
        <v>91</v>
      </c>
      <c r="H41" t="s">
        <v>38</v>
      </c>
      <c r="I41" s="1" t="s">
        <v>45</v>
      </c>
      <c r="J41" s="1">
        <v>0.75</v>
      </c>
      <c r="K41" s="7">
        <v>5399.9</v>
      </c>
      <c r="L41">
        <v>12</v>
      </c>
      <c r="M41" s="7">
        <f>Tabell1[[#This Row],[Salgspris]]*Tabell1[[#This Row],[Totalt antall]]</f>
        <v>64798.799999999996</v>
      </c>
      <c r="N41">
        <v>5</v>
      </c>
      <c r="O41">
        <v>1</v>
      </c>
      <c r="P41">
        <v>1</v>
      </c>
      <c r="Q41">
        <v>1</v>
      </c>
      <c r="S41">
        <v>1</v>
      </c>
      <c r="T41">
        <v>1</v>
      </c>
      <c r="U41">
        <v>1</v>
      </c>
      <c r="V41">
        <v>1</v>
      </c>
      <c r="X41"/>
      <c r="Y41" s="3" t="s">
        <v>31</v>
      </c>
    </row>
    <row r="42" spans="1:25" ht="32.1" customHeight="1" x14ac:dyDescent="0.25">
      <c r="A42" s="1">
        <v>12758601</v>
      </c>
      <c r="B42" t="s">
        <v>93</v>
      </c>
      <c r="C42" t="s">
        <v>89</v>
      </c>
      <c r="D42" s="1">
        <v>2018</v>
      </c>
      <c r="E42" t="s">
        <v>26</v>
      </c>
      <c r="F42" t="s">
        <v>27</v>
      </c>
      <c r="G42" t="s">
        <v>55</v>
      </c>
      <c r="H42" t="s">
        <v>38</v>
      </c>
      <c r="I42" s="1" t="s">
        <v>45</v>
      </c>
      <c r="J42" s="1">
        <v>0.75</v>
      </c>
      <c r="K42" s="7">
        <v>3622.5</v>
      </c>
      <c r="L42">
        <v>12</v>
      </c>
      <c r="M42" s="7">
        <f>Tabell1[[#This Row],[Salgspris]]*Tabell1[[#This Row],[Totalt antall]]</f>
        <v>43470</v>
      </c>
      <c r="N42">
        <v>6</v>
      </c>
      <c r="O42">
        <v>2</v>
      </c>
      <c r="Q42">
        <v>2</v>
      </c>
      <c r="V42">
        <v>2</v>
      </c>
      <c r="X42"/>
      <c r="Y42" s="3" t="s">
        <v>31</v>
      </c>
    </row>
    <row r="43" spans="1:25" ht="32.1" customHeight="1" x14ac:dyDescent="0.25">
      <c r="A43" s="1">
        <v>12758301</v>
      </c>
      <c r="B43" t="s">
        <v>93</v>
      </c>
      <c r="C43" t="s">
        <v>94</v>
      </c>
      <c r="D43" s="1">
        <v>2018</v>
      </c>
      <c r="E43" t="s">
        <v>26</v>
      </c>
      <c r="F43" t="s">
        <v>27</v>
      </c>
      <c r="G43" t="s">
        <v>94</v>
      </c>
      <c r="I43" s="1" t="s">
        <v>45</v>
      </c>
      <c r="J43" s="1">
        <v>0.75</v>
      </c>
      <c r="K43" s="7">
        <v>719</v>
      </c>
      <c r="L43">
        <v>180</v>
      </c>
      <c r="M43" s="7">
        <f>Tabell1[[#This Row],[Salgspris]]*Tabell1[[#This Row],[Totalt antall]]</f>
        <v>129420</v>
      </c>
      <c r="N43">
        <v>42</v>
      </c>
      <c r="O43">
        <v>18</v>
      </c>
      <c r="P43">
        <v>12</v>
      </c>
      <c r="Q43">
        <v>18</v>
      </c>
      <c r="R43">
        <v>12</v>
      </c>
      <c r="S43">
        <v>12</v>
      </c>
      <c r="T43">
        <v>12</v>
      </c>
      <c r="U43">
        <v>18</v>
      </c>
      <c r="V43">
        <v>30</v>
      </c>
      <c r="W43">
        <v>3</v>
      </c>
      <c r="X43">
        <v>3</v>
      </c>
      <c r="Y43" s="3"/>
    </row>
    <row r="44" spans="1:25" ht="32.1" customHeight="1" x14ac:dyDescent="0.25">
      <c r="A44" s="1">
        <v>12758101</v>
      </c>
      <c r="B44" t="s">
        <v>93</v>
      </c>
      <c r="C44" t="s">
        <v>95</v>
      </c>
      <c r="D44" s="1">
        <v>2018</v>
      </c>
      <c r="E44" t="s">
        <v>26</v>
      </c>
      <c r="F44" t="s">
        <v>27</v>
      </c>
      <c r="G44" t="s">
        <v>94</v>
      </c>
      <c r="H44" t="s">
        <v>29</v>
      </c>
      <c r="I44" s="1" t="s">
        <v>45</v>
      </c>
      <c r="J44" s="1">
        <v>0.75</v>
      </c>
      <c r="K44" s="7">
        <v>1109.4000000000001</v>
      </c>
      <c r="L44">
        <v>36</v>
      </c>
      <c r="M44" s="7">
        <f>Tabell1[[#This Row],[Salgspris]]*Tabell1[[#This Row],[Totalt antall]]</f>
        <v>39938.400000000001</v>
      </c>
      <c r="N44">
        <v>18</v>
      </c>
      <c r="O44">
        <v>6</v>
      </c>
      <c r="Q44">
        <v>6</v>
      </c>
      <c r="V44">
        <v>6</v>
      </c>
      <c r="X44"/>
      <c r="Y44" s="3"/>
    </row>
    <row r="45" spans="1:25" ht="32.1" customHeight="1" x14ac:dyDescent="0.25">
      <c r="A45" s="1">
        <v>12758701</v>
      </c>
      <c r="B45" t="s">
        <v>93</v>
      </c>
      <c r="C45" t="s">
        <v>96</v>
      </c>
      <c r="D45" s="1">
        <v>2018</v>
      </c>
      <c r="E45" t="s">
        <v>26</v>
      </c>
      <c r="F45" t="s">
        <v>27</v>
      </c>
      <c r="G45" t="s">
        <v>94</v>
      </c>
      <c r="H45" t="s">
        <v>29</v>
      </c>
      <c r="I45" s="1" t="s">
        <v>45</v>
      </c>
      <c r="J45" s="1">
        <v>0.75</v>
      </c>
      <c r="K45" s="7">
        <v>1398.8</v>
      </c>
      <c r="L45">
        <v>36</v>
      </c>
      <c r="M45" s="7">
        <f>Tabell1[[#This Row],[Salgspris]]*Tabell1[[#This Row],[Totalt antall]]</f>
        <v>50356.799999999996</v>
      </c>
      <c r="N45">
        <v>18</v>
      </c>
      <c r="O45">
        <v>6</v>
      </c>
      <c r="Q45">
        <v>6</v>
      </c>
      <c r="V45">
        <v>6</v>
      </c>
      <c r="X45"/>
      <c r="Y45" s="3"/>
    </row>
    <row r="46" spans="1:25" ht="32.1" customHeight="1" x14ac:dyDescent="0.25">
      <c r="A46" s="1">
        <v>12758501</v>
      </c>
      <c r="B46" t="s">
        <v>93</v>
      </c>
      <c r="C46" t="s">
        <v>59</v>
      </c>
      <c r="D46" s="1">
        <v>2018</v>
      </c>
      <c r="E46" t="s">
        <v>26</v>
      </c>
      <c r="F46" t="s">
        <v>27</v>
      </c>
      <c r="G46" t="s">
        <v>94</v>
      </c>
      <c r="H46" t="s">
        <v>29</v>
      </c>
      <c r="I46" s="1" t="s">
        <v>45</v>
      </c>
      <c r="J46" s="1">
        <v>0.75</v>
      </c>
      <c r="K46" s="7">
        <v>1495.7</v>
      </c>
      <c r="L46">
        <v>12</v>
      </c>
      <c r="M46" s="7">
        <f>Tabell1[[#This Row],[Salgspris]]*Tabell1[[#This Row],[Totalt antall]]</f>
        <v>17948.400000000001</v>
      </c>
      <c r="N46">
        <v>6</v>
      </c>
      <c r="O46">
        <v>2</v>
      </c>
      <c r="Q46">
        <v>2</v>
      </c>
      <c r="U46">
        <v>2</v>
      </c>
      <c r="X46"/>
      <c r="Y46" s="3"/>
    </row>
    <row r="47" spans="1:25" ht="32.1" customHeight="1" x14ac:dyDescent="0.25">
      <c r="A47" s="1">
        <v>12757901</v>
      </c>
      <c r="B47" t="s">
        <v>93</v>
      </c>
      <c r="C47" t="s">
        <v>97</v>
      </c>
      <c r="D47" s="1">
        <v>2018</v>
      </c>
      <c r="E47" t="s">
        <v>26</v>
      </c>
      <c r="F47" t="s">
        <v>27</v>
      </c>
      <c r="G47" t="s">
        <v>94</v>
      </c>
      <c r="H47" t="s">
        <v>29</v>
      </c>
      <c r="I47" s="1" t="s">
        <v>45</v>
      </c>
      <c r="J47" s="1">
        <v>0.75</v>
      </c>
      <c r="K47" s="7">
        <v>1011.5</v>
      </c>
      <c r="L47">
        <v>48</v>
      </c>
      <c r="M47" s="7">
        <f>Tabell1[[#This Row],[Salgspris]]*Tabell1[[#This Row],[Totalt antall]]</f>
        <v>48552</v>
      </c>
      <c r="N47">
        <v>18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9</v>
      </c>
      <c r="V47">
        <v>3</v>
      </c>
      <c r="X47"/>
      <c r="Y47" s="3"/>
    </row>
    <row r="48" spans="1:25" ht="32.1" customHeight="1" x14ac:dyDescent="0.25">
      <c r="A48" s="1">
        <v>12759201</v>
      </c>
      <c r="B48" t="s">
        <v>93</v>
      </c>
      <c r="C48" t="s">
        <v>98</v>
      </c>
      <c r="D48" s="1">
        <v>2018</v>
      </c>
      <c r="E48" t="s">
        <v>26</v>
      </c>
      <c r="F48" t="s">
        <v>27</v>
      </c>
      <c r="G48" t="s">
        <v>99</v>
      </c>
      <c r="H48" t="s">
        <v>38</v>
      </c>
      <c r="I48" s="1" t="s">
        <v>45</v>
      </c>
      <c r="J48" s="1">
        <v>0.75</v>
      </c>
      <c r="K48" s="7">
        <v>7017.5</v>
      </c>
      <c r="L48">
        <v>6</v>
      </c>
      <c r="M48" s="7">
        <f>Tabell1[[#This Row],[Salgspris]]*Tabell1[[#This Row],[Totalt antall]]</f>
        <v>42105</v>
      </c>
      <c r="N48">
        <v>3</v>
      </c>
      <c r="O48">
        <v>1</v>
      </c>
      <c r="Q48">
        <v>1</v>
      </c>
      <c r="U48">
        <v>1</v>
      </c>
      <c r="X48"/>
      <c r="Y48" s="3" t="s">
        <v>31</v>
      </c>
    </row>
    <row r="49" spans="1:25" ht="32.1" customHeight="1" x14ac:dyDescent="0.25">
      <c r="A49" s="1">
        <v>12758801</v>
      </c>
      <c r="B49" t="s">
        <v>93</v>
      </c>
      <c r="C49" t="s">
        <v>99</v>
      </c>
      <c r="D49" s="1">
        <v>2018</v>
      </c>
      <c r="E49" t="s">
        <v>26</v>
      </c>
      <c r="F49" t="s">
        <v>27</v>
      </c>
      <c r="G49" t="s">
        <v>99</v>
      </c>
      <c r="I49" s="1" t="s">
        <v>45</v>
      </c>
      <c r="J49" s="1">
        <v>0.75</v>
      </c>
      <c r="K49" s="7">
        <v>719</v>
      </c>
      <c r="L49">
        <v>48</v>
      </c>
      <c r="M49" s="7">
        <f>Tabell1[[#This Row],[Salgspris]]*Tabell1[[#This Row],[Totalt antall]]</f>
        <v>34512</v>
      </c>
      <c r="N49">
        <v>18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9</v>
      </c>
      <c r="V49">
        <v>3</v>
      </c>
      <c r="X49"/>
      <c r="Y49" s="3"/>
    </row>
    <row r="50" spans="1:25" ht="32.1" customHeight="1" x14ac:dyDescent="0.25">
      <c r="A50" s="1">
        <v>12757801</v>
      </c>
      <c r="B50" t="s">
        <v>93</v>
      </c>
      <c r="C50" t="s">
        <v>100</v>
      </c>
      <c r="D50" s="1">
        <v>2018</v>
      </c>
      <c r="E50" t="s">
        <v>26</v>
      </c>
      <c r="F50" t="s">
        <v>27</v>
      </c>
      <c r="G50" t="s">
        <v>99</v>
      </c>
      <c r="H50" t="s">
        <v>29</v>
      </c>
      <c r="I50" s="1" t="s">
        <v>45</v>
      </c>
      <c r="J50" s="1">
        <v>0.75</v>
      </c>
      <c r="K50" s="7">
        <v>1398.8</v>
      </c>
      <c r="L50">
        <v>144</v>
      </c>
      <c r="M50" s="7">
        <f>Tabell1[[#This Row],[Salgspris]]*Tabell1[[#This Row],[Totalt antall]]</f>
        <v>201427.19999999998</v>
      </c>
      <c r="N50">
        <v>30</v>
      </c>
      <c r="O50">
        <v>12</v>
      </c>
      <c r="P50">
        <v>12</v>
      </c>
      <c r="Q50">
        <v>12</v>
      </c>
      <c r="R50">
        <v>12</v>
      </c>
      <c r="S50">
        <v>12</v>
      </c>
      <c r="T50">
        <v>12</v>
      </c>
      <c r="U50">
        <v>24</v>
      </c>
      <c r="V50">
        <v>12</v>
      </c>
      <c r="W50">
        <v>3</v>
      </c>
      <c r="X50">
        <v>3</v>
      </c>
      <c r="Y50" s="3"/>
    </row>
    <row r="51" spans="1:25" ht="32.1" customHeight="1" x14ac:dyDescent="0.25">
      <c r="A51" s="1">
        <v>12757605</v>
      </c>
      <c r="B51" t="s">
        <v>93</v>
      </c>
      <c r="C51" t="s">
        <v>100</v>
      </c>
      <c r="D51" s="1">
        <v>2018</v>
      </c>
      <c r="E51" t="s">
        <v>26</v>
      </c>
      <c r="F51" t="s">
        <v>27</v>
      </c>
      <c r="G51" t="s">
        <v>99</v>
      </c>
      <c r="H51" t="s">
        <v>29</v>
      </c>
      <c r="I51" s="1" t="s">
        <v>45</v>
      </c>
      <c r="J51" s="1">
        <v>1.5</v>
      </c>
      <c r="K51" s="7">
        <v>3487.5</v>
      </c>
      <c r="L51">
        <v>12</v>
      </c>
      <c r="M51" s="7">
        <f>Tabell1[[#This Row],[Salgspris]]*Tabell1[[#This Row],[Totalt antall]]</f>
        <v>41850</v>
      </c>
      <c r="N51">
        <v>6</v>
      </c>
      <c r="O51">
        <v>2</v>
      </c>
      <c r="Q51">
        <v>2</v>
      </c>
      <c r="V51">
        <v>2</v>
      </c>
      <c r="X51"/>
      <c r="Y51" s="3"/>
    </row>
    <row r="52" spans="1:25" ht="32.1" customHeight="1" x14ac:dyDescent="0.25">
      <c r="A52" s="1">
        <v>12758001</v>
      </c>
      <c r="B52" t="s">
        <v>93</v>
      </c>
      <c r="C52" t="s">
        <v>101</v>
      </c>
      <c r="D52" s="1">
        <v>2018</v>
      </c>
      <c r="E52" t="s">
        <v>26</v>
      </c>
      <c r="F52" t="s">
        <v>27</v>
      </c>
      <c r="G52" t="s">
        <v>99</v>
      </c>
      <c r="H52" t="s">
        <v>29</v>
      </c>
      <c r="I52" s="1" t="s">
        <v>45</v>
      </c>
      <c r="J52" s="1">
        <v>0.75</v>
      </c>
      <c r="K52" s="7">
        <v>1398.8</v>
      </c>
      <c r="L52">
        <v>12</v>
      </c>
      <c r="M52" s="7">
        <f>Tabell1[[#This Row],[Salgspris]]*Tabell1[[#This Row],[Totalt antall]]</f>
        <v>16785.599999999999</v>
      </c>
      <c r="N52">
        <v>6</v>
      </c>
      <c r="O52">
        <v>2</v>
      </c>
      <c r="Q52">
        <v>2</v>
      </c>
      <c r="V52">
        <v>2</v>
      </c>
      <c r="X52"/>
      <c r="Y52" s="3"/>
    </row>
    <row r="53" spans="1:25" ht="32.1" customHeight="1" x14ac:dyDescent="0.25">
      <c r="A53" s="1">
        <v>12757401</v>
      </c>
      <c r="B53" t="s">
        <v>93</v>
      </c>
      <c r="C53" t="s">
        <v>102</v>
      </c>
      <c r="D53" s="1">
        <v>2018</v>
      </c>
      <c r="E53" t="s">
        <v>26</v>
      </c>
      <c r="F53" t="s">
        <v>27</v>
      </c>
      <c r="G53" t="s">
        <v>99</v>
      </c>
      <c r="H53" t="s">
        <v>29</v>
      </c>
      <c r="I53" s="1" t="s">
        <v>45</v>
      </c>
      <c r="J53" s="1">
        <v>0.75</v>
      </c>
      <c r="K53" s="7">
        <v>1302</v>
      </c>
      <c r="L53">
        <v>24</v>
      </c>
      <c r="M53" s="7">
        <f>Tabell1[[#This Row],[Salgspris]]*Tabell1[[#This Row],[Totalt antall]]</f>
        <v>31248</v>
      </c>
      <c r="N53">
        <v>12</v>
      </c>
      <c r="O53">
        <v>3</v>
      </c>
      <c r="Q53">
        <v>3</v>
      </c>
      <c r="U53">
        <v>3</v>
      </c>
      <c r="V53">
        <v>3</v>
      </c>
      <c r="X53"/>
      <c r="Y53" s="3"/>
    </row>
    <row r="54" spans="1:25" ht="32.1" customHeight="1" x14ac:dyDescent="0.25">
      <c r="A54" s="1">
        <v>12758201</v>
      </c>
      <c r="B54" t="s">
        <v>93</v>
      </c>
      <c r="C54" t="s">
        <v>103</v>
      </c>
      <c r="D54" s="1">
        <v>2018</v>
      </c>
      <c r="E54" t="s">
        <v>26</v>
      </c>
      <c r="F54" t="s">
        <v>27</v>
      </c>
      <c r="G54" t="s">
        <v>99</v>
      </c>
      <c r="H54" t="s">
        <v>29</v>
      </c>
      <c r="I54" s="1" t="s">
        <v>45</v>
      </c>
      <c r="J54" s="1">
        <v>0.75</v>
      </c>
      <c r="K54" s="7">
        <v>1398.8</v>
      </c>
      <c r="L54">
        <v>36</v>
      </c>
      <c r="M54" s="7">
        <f>Tabell1[[#This Row],[Salgspris]]*Tabell1[[#This Row],[Totalt antall]]</f>
        <v>50356.799999999996</v>
      </c>
      <c r="N54">
        <v>12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X54"/>
      <c r="Y54" s="3"/>
    </row>
    <row r="55" spans="1:25" ht="32.1" customHeight="1" x14ac:dyDescent="0.25">
      <c r="A55" s="1">
        <v>12758401</v>
      </c>
      <c r="B55" t="s">
        <v>93</v>
      </c>
      <c r="C55" t="s">
        <v>90</v>
      </c>
      <c r="D55" s="1">
        <v>2018</v>
      </c>
      <c r="E55" t="s">
        <v>26</v>
      </c>
      <c r="F55" t="s">
        <v>27</v>
      </c>
      <c r="G55" t="s">
        <v>91</v>
      </c>
      <c r="H55" t="s">
        <v>38</v>
      </c>
      <c r="I55" s="1" t="s">
        <v>45</v>
      </c>
      <c r="J55" s="1">
        <v>0.75</v>
      </c>
      <c r="K55" s="7">
        <v>5407.5</v>
      </c>
      <c r="L55">
        <v>6</v>
      </c>
      <c r="M55" s="7">
        <f>Tabell1[[#This Row],[Salgspris]]*Tabell1[[#This Row],[Totalt antall]]</f>
        <v>32445</v>
      </c>
      <c r="N55">
        <v>3</v>
      </c>
      <c r="P55">
        <v>1</v>
      </c>
      <c r="S55">
        <v>1</v>
      </c>
      <c r="T55">
        <v>1</v>
      </c>
      <c r="X55"/>
      <c r="Y55" s="3" t="s">
        <v>31</v>
      </c>
    </row>
    <row r="56" spans="1:25" ht="32.1" customHeight="1" x14ac:dyDescent="0.25">
      <c r="A56" s="1">
        <v>12759001</v>
      </c>
      <c r="B56" t="s">
        <v>93</v>
      </c>
      <c r="C56" t="s">
        <v>92</v>
      </c>
      <c r="D56" s="1">
        <v>2018</v>
      </c>
      <c r="E56" t="s">
        <v>26</v>
      </c>
      <c r="F56" t="s">
        <v>27</v>
      </c>
      <c r="G56" t="s">
        <v>91</v>
      </c>
      <c r="H56" t="s">
        <v>38</v>
      </c>
      <c r="I56" s="1" t="s">
        <v>45</v>
      </c>
      <c r="J56" s="1">
        <v>0.75</v>
      </c>
      <c r="K56" s="7">
        <v>9342.5</v>
      </c>
      <c r="L56">
        <v>6</v>
      </c>
      <c r="M56" s="7">
        <f>Tabell1[[#This Row],[Salgspris]]*Tabell1[[#This Row],[Totalt antall]]</f>
        <v>56055</v>
      </c>
      <c r="N56">
        <v>3</v>
      </c>
      <c r="Q56">
        <v>1</v>
      </c>
      <c r="U56">
        <v>1</v>
      </c>
      <c r="V56">
        <v>1</v>
      </c>
      <c r="X56"/>
      <c r="Y56" s="3" t="s">
        <v>31</v>
      </c>
    </row>
    <row r="57" spans="1:25" ht="32.1" customHeight="1" x14ac:dyDescent="0.25">
      <c r="A57" s="1">
        <v>12767801</v>
      </c>
      <c r="B57" t="s">
        <v>104</v>
      </c>
      <c r="C57" t="s">
        <v>99</v>
      </c>
      <c r="D57" s="1">
        <v>2018</v>
      </c>
      <c r="E57" t="s">
        <v>26</v>
      </c>
      <c r="F57" t="s">
        <v>27</v>
      </c>
      <c r="G57" t="s">
        <v>99</v>
      </c>
      <c r="I57" s="1" t="s">
        <v>45</v>
      </c>
      <c r="J57" s="1">
        <v>0.75</v>
      </c>
      <c r="K57" s="7">
        <v>766.9</v>
      </c>
      <c r="L57">
        <v>144</v>
      </c>
      <c r="M57" s="7">
        <f>Tabell1[[#This Row],[Salgspris]]*Tabell1[[#This Row],[Totalt antall]]</f>
        <v>110433.59999999999</v>
      </c>
      <c r="N57">
        <v>24</v>
      </c>
      <c r="O57">
        <v>12</v>
      </c>
      <c r="P57">
        <v>12</v>
      </c>
      <c r="Q57">
        <v>12</v>
      </c>
      <c r="R57">
        <v>12</v>
      </c>
      <c r="S57">
        <v>12</v>
      </c>
      <c r="T57">
        <v>12</v>
      </c>
      <c r="U57">
        <v>24</v>
      </c>
      <c r="V57">
        <v>18</v>
      </c>
      <c r="W57">
        <v>3</v>
      </c>
      <c r="X57">
        <v>3</v>
      </c>
      <c r="Y57" s="3"/>
    </row>
    <row r="58" spans="1:25" ht="32.1" customHeight="1" x14ac:dyDescent="0.25">
      <c r="A58" s="1">
        <v>12760801</v>
      </c>
      <c r="B58" t="s">
        <v>104</v>
      </c>
      <c r="C58" t="s">
        <v>105</v>
      </c>
      <c r="D58" s="1">
        <v>2018</v>
      </c>
      <c r="E58" t="s">
        <v>26</v>
      </c>
      <c r="F58" t="s">
        <v>27</v>
      </c>
      <c r="G58" t="s">
        <v>99</v>
      </c>
      <c r="H58" t="s">
        <v>29</v>
      </c>
      <c r="I58" s="1" t="s">
        <v>45</v>
      </c>
      <c r="J58" s="1">
        <v>0.75</v>
      </c>
      <c r="K58" s="7">
        <v>984.3</v>
      </c>
      <c r="L58">
        <v>72</v>
      </c>
      <c r="M58" s="7">
        <f>Tabell1[[#This Row],[Salgspris]]*Tabell1[[#This Row],[Totalt antall]]</f>
        <v>70869.599999999991</v>
      </c>
      <c r="N58">
        <v>36</v>
      </c>
      <c r="O58">
        <v>6</v>
      </c>
      <c r="P58">
        <v>3</v>
      </c>
      <c r="Q58">
        <v>9</v>
      </c>
      <c r="S58">
        <v>3</v>
      </c>
      <c r="T58">
        <v>3</v>
      </c>
      <c r="U58">
        <v>6</v>
      </c>
      <c r="V58">
        <v>6</v>
      </c>
      <c r="X58"/>
      <c r="Y58" s="3"/>
    </row>
    <row r="59" spans="1:25" ht="32.1" customHeight="1" x14ac:dyDescent="0.25">
      <c r="A59" s="1">
        <v>12760201</v>
      </c>
      <c r="B59" t="s">
        <v>104</v>
      </c>
      <c r="C59" t="s">
        <v>101</v>
      </c>
      <c r="D59" s="1">
        <v>2018</v>
      </c>
      <c r="E59" t="s">
        <v>26</v>
      </c>
      <c r="F59" t="s">
        <v>27</v>
      </c>
      <c r="G59" t="s">
        <v>99</v>
      </c>
      <c r="H59" t="s">
        <v>29</v>
      </c>
      <c r="I59" s="1" t="s">
        <v>45</v>
      </c>
      <c r="J59" s="1">
        <v>0.75</v>
      </c>
      <c r="K59" s="7">
        <v>1060.5</v>
      </c>
      <c r="L59">
        <v>72</v>
      </c>
      <c r="M59" s="7">
        <f>Tabell1[[#This Row],[Salgspris]]*Tabell1[[#This Row],[Totalt antall]]</f>
        <v>76356</v>
      </c>
      <c r="N59">
        <v>36</v>
      </c>
      <c r="O59">
        <v>9</v>
      </c>
      <c r="P59">
        <v>3</v>
      </c>
      <c r="Q59">
        <v>6</v>
      </c>
      <c r="S59">
        <v>3</v>
      </c>
      <c r="T59">
        <v>3</v>
      </c>
      <c r="U59">
        <v>6</v>
      </c>
      <c r="V59">
        <v>6</v>
      </c>
      <c r="X59"/>
      <c r="Y59" s="3"/>
    </row>
    <row r="60" spans="1:25" ht="32.1" customHeight="1" x14ac:dyDescent="0.25">
      <c r="A60" s="1">
        <v>12760601</v>
      </c>
      <c r="B60" t="s">
        <v>104</v>
      </c>
      <c r="C60" t="s">
        <v>106</v>
      </c>
      <c r="D60" s="1">
        <v>2018</v>
      </c>
      <c r="E60" t="s">
        <v>26</v>
      </c>
      <c r="F60" t="s">
        <v>27</v>
      </c>
      <c r="G60" t="s">
        <v>99</v>
      </c>
      <c r="H60" t="s">
        <v>29</v>
      </c>
      <c r="I60" s="1" t="s">
        <v>45</v>
      </c>
      <c r="J60" s="1">
        <v>0.75</v>
      </c>
      <c r="K60" s="7">
        <v>924.5</v>
      </c>
      <c r="L60">
        <v>72</v>
      </c>
      <c r="M60" s="7">
        <f>Tabell1[[#This Row],[Salgspris]]*Tabell1[[#This Row],[Totalt antall]]</f>
        <v>66564</v>
      </c>
      <c r="N60">
        <v>36</v>
      </c>
      <c r="O60">
        <v>9</v>
      </c>
      <c r="P60">
        <v>3</v>
      </c>
      <c r="Q60">
        <v>6</v>
      </c>
      <c r="S60">
        <v>3</v>
      </c>
      <c r="T60">
        <v>3</v>
      </c>
      <c r="U60">
        <v>6</v>
      </c>
      <c r="V60">
        <v>6</v>
      </c>
      <c r="X60"/>
      <c r="Y60" s="3"/>
    </row>
    <row r="61" spans="1:25" ht="32.1" customHeight="1" x14ac:dyDescent="0.25">
      <c r="A61" s="1">
        <v>12760501</v>
      </c>
      <c r="B61" t="s">
        <v>104</v>
      </c>
      <c r="C61" t="s">
        <v>107</v>
      </c>
      <c r="D61" s="1">
        <v>2018</v>
      </c>
      <c r="E61" t="s">
        <v>26</v>
      </c>
      <c r="F61" t="s">
        <v>27</v>
      </c>
      <c r="G61" t="s">
        <v>99</v>
      </c>
      <c r="H61" t="s">
        <v>29</v>
      </c>
      <c r="I61" s="1" t="s">
        <v>45</v>
      </c>
      <c r="J61" s="1">
        <v>0.75</v>
      </c>
      <c r="K61" s="7">
        <v>793.9</v>
      </c>
      <c r="L61">
        <v>72</v>
      </c>
      <c r="M61" s="7">
        <f>Tabell1[[#This Row],[Salgspris]]*Tabell1[[#This Row],[Totalt antall]]</f>
        <v>57160.799999999996</v>
      </c>
      <c r="N61">
        <v>36</v>
      </c>
      <c r="O61">
        <v>6</v>
      </c>
      <c r="P61">
        <v>3</v>
      </c>
      <c r="Q61">
        <v>9</v>
      </c>
      <c r="S61">
        <v>3</v>
      </c>
      <c r="T61">
        <v>3</v>
      </c>
      <c r="U61">
        <v>6</v>
      </c>
      <c r="V61">
        <v>6</v>
      </c>
      <c r="X61"/>
      <c r="Y61" s="3"/>
    </row>
    <row r="62" spans="1:25" ht="32.1" customHeight="1" x14ac:dyDescent="0.25">
      <c r="A62" s="1">
        <v>12760001</v>
      </c>
      <c r="B62" t="s">
        <v>104</v>
      </c>
      <c r="C62" t="s">
        <v>108</v>
      </c>
      <c r="D62" s="1">
        <v>2018</v>
      </c>
      <c r="E62" t="s">
        <v>26</v>
      </c>
      <c r="F62" t="s">
        <v>27</v>
      </c>
      <c r="G62" t="s">
        <v>99</v>
      </c>
      <c r="H62" t="s">
        <v>29</v>
      </c>
      <c r="I62" s="1" t="s">
        <v>45</v>
      </c>
      <c r="J62" s="1">
        <v>0.75</v>
      </c>
      <c r="K62" s="7">
        <v>1060.5</v>
      </c>
      <c r="L62">
        <v>60</v>
      </c>
      <c r="M62" s="7">
        <f>Tabell1[[#This Row],[Salgspris]]*Tabell1[[#This Row],[Totalt antall]]</f>
        <v>63630</v>
      </c>
      <c r="N62">
        <v>12</v>
      </c>
      <c r="O62">
        <v>6</v>
      </c>
      <c r="P62">
        <v>6</v>
      </c>
      <c r="Q62">
        <v>9</v>
      </c>
      <c r="S62">
        <v>6</v>
      </c>
      <c r="T62">
        <v>3</v>
      </c>
      <c r="U62">
        <v>6</v>
      </c>
      <c r="V62">
        <v>12</v>
      </c>
      <c r="X62"/>
      <c r="Y62" s="3"/>
    </row>
    <row r="63" spans="1:25" ht="32.1" customHeight="1" x14ac:dyDescent="0.25">
      <c r="A63" s="1">
        <v>6885801</v>
      </c>
      <c r="B63" t="s">
        <v>109</v>
      </c>
      <c r="C63" t="s">
        <v>57</v>
      </c>
      <c r="D63" s="1">
        <v>2018</v>
      </c>
      <c r="E63" t="s">
        <v>26</v>
      </c>
      <c r="F63" t="s">
        <v>27</v>
      </c>
      <c r="G63" t="s">
        <v>57</v>
      </c>
      <c r="I63" s="1" t="s">
        <v>45</v>
      </c>
      <c r="J63" s="1">
        <v>0.75</v>
      </c>
      <c r="K63" s="7">
        <v>836.9</v>
      </c>
      <c r="L63">
        <v>24</v>
      </c>
      <c r="M63" s="7">
        <f>Tabell1[[#This Row],[Salgspris]]*Tabell1[[#This Row],[Totalt antall]]</f>
        <v>20085.599999999999</v>
      </c>
      <c r="N63">
        <v>12</v>
      </c>
      <c r="O63">
        <v>3</v>
      </c>
      <c r="Q63">
        <v>3</v>
      </c>
      <c r="R63">
        <v>3</v>
      </c>
      <c r="U63">
        <v>3</v>
      </c>
      <c r="X63"/>
      <c r="Y63" s="3" t="s">
        <v>88</v>
      </c>
    </row>
    <row r="64" spans="1:25" ht="32.1" customHeight="1" x14ac:dyDescent="0.25">
      <c r="A64" s="1">
        <v>12635701</v>
      </c>
      <c r="B64" t="s">
        <v>109</v>
      </c>
      <c r="C64" t="s">
        <v>110</v>
      </c>
      <c r="D64" s="1">
        <v>2017</v>
      </c>
      <c r="E64" t="s">
        <v>26</v>
      </c>
      <c r="F64" t="s">
        <v>27</v>
      </c>
      <c r="G64" t="s">
        <v>57</v>
      </c>
      <c r="I64" s="1" t="s">
        <v>45</v>
      </c>
      <c r="J64" s="1">
        <v>0.75</v>
      </c>
      <c r="K64" s="7">
        <v>1151.3</v>
      </c>
      <c r="L64">
        <v>6</v>
      </c>
      <c r="M64" s="7">
        <f>Tabell1[[#This Row],[Salgspris]]*Tabell1[[#This Row],[Totalt antall]]</f>
        <v>6907.7999999999993</v>
      </c>
      <c r="N64">
        <v>3</v>
      </c>
      <c r="O64">
        <v>1</v>
      </c>
      <c r="Q64">
        <v>1</v>
      </c>
      <c r="U64">
        <v>1</v>
      </c>
      <c r="X64"/>
      <c r="Y64" s="3" t="s">
        <v>31</v>
      </c>
    </row>
    <row r="65" spans="1:25" ht="32.1" customHeight="1" x14ac:dyDescent="0.25">
      <c r="A65" s="1">
        <v>5487601</v>
      </c>
      <c r="B65" t="s">
        <v>109</v>
      </c>
      <c r="C65" t="s">
        <v>44</v>
      </c>
      <c r="D65" s="1">
        <v>2018</v>
      </c>
      <c r="E65" t="s">
        <v>26</v>
      </c>
      <c r="F65" t="s">
        <v>27</v>
      </c>
      <c r="I65" s="1" t="s">
        <v>45</v>
      </c>
      <c r="J65" s="1">
        <v>0.75</v>
      </c>
      <c r="K65" s="7">
        <v>342.8</v>
      </c>
      <c r="L65">
        <v>96</v>
      </c>
      <c r="M65" s="7">
        <f>Tabell1[[#This Row],[Salgspris]]*Tabell1[[#This Row],[Totalt antall]]</f>
        <v>32908.800000000003</v>
      </c>
      <c r="N65">
        <v>24</v>
      </c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  <c r="U65">
        <v>18</v>
      </c>
      <c r="V65">
        <v>6</v>
      </c>
      <c r="W65">
        <v>6</v>
      </c>
      <c r="X65">
        <v>6</v>
      </c>
      <c r="Y65" s="3"/>
    </row>
    <row r="66" spans="1:25" ht="32.1" customHeight="1" x14ac:dyDescent="0.25">
      <c r="A66" s="1">
        <v>12635501</v>
      </c>
      <c r="B66" t="s">
        <v>111</v>
      </c>
      <c r="C66" t="s">
        <v>112</v>
      </c>
      <c r="D66" s="1">
        <v>2018</v>
      </c>
      <c r="E66" t="s">
        <v>26</v>
      </c>
      <c r="F66" t="s">
        <v>27</v>
      </c>
      <c r="G66" t="s">
        <v>112</v>
      </c>
      <c r="I66" s="1" t="s">
        <v>45</v>
      </c>
      <c r="J66" s="1">
        <v>0.75</v>
      </c>
      <c r="K66" s="7">
        <v>638.6</v>
      </c>
      <c r="L66">
        <v>240</v>
      </c>
      <c r="M66" s="7">
        <f>Tabell1[[#This Row],[Salgspris]]*Tabell1[[#This Row],[Totalt antall]]</f>
        <v>153264</v>
      </c>
      <c r="N66">
        <v>24</v>
      </c>
      <c r="O66">
        <v>24</v>
      </c>
      <c r="P66">
        <v>18</v>
      </c>
      <c r="Q66">
        <v>24</v>
      </c>
      <c r="R66">
        <v>18</v>
      </c>
      <c r="S66">
        <v>18</v>
      </c>
      <c r="T66">
        <v>18</v>
      </c>
      <c r="U66">
        <v>54</v>
      </c>
      <c r="V66">
        <v>30</v>
      </c>
      <c r="W66">
        <v>6</v>
      </c>
      <c r="X66">
        <v>6</v>
      </c>
      <c r="Y66" s="3"/>
    </row>
    <row r="67" spans="1:25" ht="32.1" customHeight="1" x14ac:dyDescent="0.25">
      <c r="A67" s="1">
        <v>12635601</v>
      </c>
      <c r="B67" t="s">
        <v>111</v>
      </c>
      <c r="C67" t="s">
        <v>57</v>
      </c>
      <c r="D67" s="1">
        <v>2018</v>
      </c>
      <c r="E67" t="s">
        <v>26</v>
      </c>
      <c r="F67" t="s">
        <v>27</v>
      </c>
      <c r="G67" t="s">
        <v>57</v>
      </c>
      <c r="I67" s="1" t="s">
        <v>45</v>
      </c>
      <c r="J67" s="1">
        <v>0.75</v>
      </c>
      <c r="K67" s="7">
        <v>916.2</v>
      </c>
      <c r="L67">
        <v>12</v>
      </c>
      <c r="M67" s="7">
        <f>Tabell1[[#This Row],[Salgspris]]*Tabell1[[#This Row],[Totalt antall]]</f>
        <v>10994.400000000001</v>
      </c>
      <c r="N67">
        <v>6</v>
      </c>
      <c r="O67">
        <v>2</v>
      </c>
      <c r="Q67">
        <v>2</v>
      </c>
      <c r="R67">
        <v>2</v>
      </c>
      <c r="X67"/>
      <c r="Y67" s="3" t="s">
        <v>31</v>
      </c>
    </row>
    <row r="68" spans="1:25" ht="32.1" customHeight="1" x14ac:dyDescent="0.25">
      <c r="A68" s="1">
        <v>12635401</v>
      </c>
      <c r="B68" t="s">
        <v>111</v>
      </c>
      <c r="C68" t="s">
        <v>113</v>
      </c>
      <c r="D68" s="1">
        <v>2018</v>
      </c>
      <c r="E68" t="s">
        <v>26</v>
      </c>
      <c r="F68" t="s">
        <v>27</v>
      </c>
      <c r="G68" t="s">
        <v>57</v>
      </c>
      <c r="I68" s="1" t="s">
        <v>45</v>
      </c>
      <c r="J68" s="1">
        <v>0.75</v>
      </c>
      <c r="K68" s="7">
        <v>979.5</v>
      </c>
      <c r="L68">
        <v>30</v>
      </c>
      <c r="M68" s="7">
        <f>Tabell1[[#This Row],[Salgspris]]*Tabell1[[#This Row],[Totalt antall]]</f>
        <v>29385</v>
      </c>
      <c r="N68">
        <v>12</v>
      </c>
      <c r="O68">
        <v>2</v>
      </c>
      <c r="P68">
        <v>2</v>
      </c>
      <c r="Q68">
        <v>2</v>
      </c>
      <c r="R68">
        <v>2</v>
      </c>
      <c r="S68">
        <v>2</v>
      </c>
      <c r="T68">
        <v>2</v>
      </c>
      <c r="U68">
        <v>4</v>
      </c>
      <c r="V68">
        <v>2</v>
      </c>
      <c r="X68"/>
      <c r="Y68" s="3" t="s">
        <v>88</v>
      </c>
    </row>
    <row r="69" spans="1:25" ht="32.1" customHeight="1" x14ac:dyDescent="0.25">
      <c r="A69" s="1">
        <v>6879801</v>
      </c>
      <c r="B69" t="s">
        <v>111</v>
      </c>
      <c r="C69" t="s">
        <v>52</v>
      </c>
      <c r="D69" s="1">
        <v>2018</v>
      </c>
      <c r="E69" t="s">
        <v>26</v>
      </c>
      <c r="F69" t="s">
        <v>27</v>
      </c>
      <c r="I69" s="1" t="s">
        <v>45</v>
      </c>
      <c r="J69" s="1">
        <v>0.75</v>
      </c>
      <c r="K69" s="7">
        <v>440.5</v>
      </c>
      <c r="L69">
        <v>28</v>
      </c>
      <c r="M69" s="7">
        <f>Tabell1[[#This Row],[Salgspris]]*Tabell1[[#This Row],[Totalt antall]]</f>
        <v>12334</v>
      </c>
      <c r="N69">
        <v>12</v>
      </c>
      <c r="P69">
        <v>4</v>
      </c>
      <c r="S69">
        <v>4</v>
      </c>
      <c r="T69">
        <v>4</v>
      </c>
      <c r="U69">
        <v>4</v>
      </c>
      <c r="X69"/>
      <c r="Y69" s="3"/>
    </row>
    <row r="70" spans="1:25" ht="32.1" customHeight="1" x14ac:dyDescent="0.25">
      <c r="A70" s="1">
        <v>12720801</v>
      </c>
      <c r="B70" t="s">
        <v>111</v>
      </c>
      <c r="C70" t="s">
        <v>114</v>
      </c>
      <c r="D70" s="1">
        <v>2018</v>
      </c>
      <c r="E70" t="s">
        <v>26</v>
      </c>
      <c r="F70" t="s">
        <v>27</v>
      </c>
      <c r="I70" s="1" t="s">
        <v>45</v>
      </c>
      <c r="J70" s="1">
        <v>0.75</v>
      </c>
      <c r="K70" s="7">
        <v>614.6</v>
      </c>
      <c r="L70">
        <v>36</v>
      </c>
      <c r="M70" s="7">
        <f>Tabell1[[#This Row],[Salgspris]]*Tabell1[[#This Row],[Totalt antall]]</f>
        <v>22125.600000000002</v>
      </c>
      <c r="N70">
        <v>18</v>
      </c>
      <c r="O70">
        <v>6</v>
      </c>
      <c r="Q70">
        <v>6</v>
      </c>
      <c r="V70">
        <v>6</v>
      </c>
      <c r="X70"/>
      <c r="Y70" s="3"/>
    </row>
    <row r="71" spans="1:25" ht="32.1" customHeight="1" x14ac:dyDescent="0.25">
      <c r="A71" s="1">
        <v>6879701</v>
      </c>
      <c r="B71" t="s">
        <v>111</v>
      </c>
      <c r="C71" t="s">
        <v>115</v>
      </c>
      <c r="D71" s="1">
        <v>2018</v>
      </c>
      <c r="E71" t="s">
        <v>26</v>
      </c>
      <c r="F71" t="s">
        <v>27</v>
      </c>
      <c r="G71" t="s">
        <v>112</v>
      </c>
      <c r="H71" t="s">
        <v>29</v>
      </c>
      <c r="I71" s="1" t="s">
        <v>30</v>
      </c>
      <c r="J71" s="1">
        <v>0.75</v>
      </c>
      <c r="K71" s="7">
        <v>736.3</v>
      </c>
      <c r="L71">
        <v>24</v>
      </c>
      <c r="M71" s="7">
        <f>Tabell1[[#This Row],[Salgspris]]*Tabell1[[#This Row],[Totalt antall]]</f>
        <v>17671.199999999997</v>
      </c>
      <c r="N71">
        <v>12</v>
      </c>
      <c r="O71">
        <v>3</v>
      </c>
      <c r="Q71">
        <v>3</v>
      </c>
      <c r="R71">
        <v>3</v>
      </c>
      <c r="V71">
        <v>3</v>
      </c>
      <c r="X71"/>
      <c r="Y71" s="3"/>
    </row>
    <row r="72" spans="1:25" ht="32.1" customHeight="1" x14ac:dyDescent="0.25">
      <c r="A72" s="1">
        <v>3850001</v>
      </c>
      <c r="B72" t="s">
        <v>111</v>
      </c>
      <c r="C72" t="s">
        <v>116</v>
      </c>
      <c r="D72" s="1">
        <v>2018</v>
      </c>
      <c r="E72" t="s">
        <v>26</v>
      </c>
      <c r="F72" t="s">
        <v>27</v>
      </c>
      <c r="G72" t="s">
        <v>116</v>
      </c>
      <c r="I72" s="1" t="s">
        <v>30</v>
      </c>
      <c r="J72" s="1">
        <v>0.75</v>
      </c>
      <c r="K72" s="7">
        <v>646.6</v>
      </c>
      <c r="L72">
        <v>24</v>
      </c>
      <c r="M72" s="7">
        <f>Tabell1[[#This Row],[Salgspris]]*Tabell1[[#This Row],[Totalt antall]]</f>
        <v>15518.400000000001</v>
      </c>
      <c r="N72">
        <v>12</v>
      </c>
      <c r="P72">
        <v>3</v>
      </c>
      <c r="S72">
        <v>3</v>
      </c>
      <c r="T72">
        <v>3</v>
      </c>
      <c r="U72">
        <v>3</v>
      </c>
      <c r="X72"/>
      <c r="Y72" s="3"/>
    </row>
    <row r="73" spans="1:25" ht="32.1" customHeight="1" x14ac:dyDescent="0.25">
      <c r="A73" s="1">
        <v>7657401</v>
      </c>
      <c r="B73" t="s">
        <v>111</v>
      </c>
      <c r="C73" t="s">
        <v>117</v>
      </c>
      <c r="D73" s="1">
        <v>2018</v>
      </c>
      <c r="E73" t="s">
        <v>26</v>
      </c>
      <c r="F73" t="s">
        <v>27</v>
      </c>
      <c r="I73" s="1" t="s">
        <v>30</v>
      </c>
      <c r="J73" s="1">
        <v>0.75</v>
      </c>
      <c r="K73" s="7">
        <v>412.2</v>
      </c>
      <c r="L73">
        <v>108</v>
      </c>
      <c r="M73" s="7">
        <f>Tabell1[[#This Row],[Salgspris]]*Tabell1[[#This Row],[Totalt antall]]</f>
        <v>44517.599999999999</v>
      </c>
      <c r="N73">
        <v>24</v>
      </c>
      <c r="O73">
        <v>6</v>
      </c>
      <c r="P73">
        <v>6</v>
      </c>
      <c r="Q73">
        <v>6</v>
      </c>
      <c r="R73">
        <v>6</v>
      </c>
      <c r="S73">
        <v>6</v>
      </c>
      <c r="T73">
        <v>6</v>
      </c>
      <c r="U73">
        <v>30</v>
      </c>
      <c r="V73">
        <v>6</v>
      </c>
      <c r="W73">
        <v>6</v>
      </c>
      <c r="X73">
        <v>6</v>
      </c>
      <c r="Y73" s="3"/>
    </row>
    <row r="74" spans="1:25" ht="32.1" customHeight="1" x14ac:dyDescent="0.25">
      <c r="A74" s="1">
        <v>3067601</v>
      </c>
      <c r="B74" t="s">
        <v>118</v>
      </c>
      <c r="C74" t="s">
        <v>119</v>
      </c>
      <c r="D74" s="1">
        <v>2018</v>
      </c>
      <c r="E74" t="s">
        <v>26</v>
      </c>
      <c r="F74" t="s">
        <v>27</v>
      </c>
      <c r="G74" t="s">
        <v>120</v>
      </c>
      <c r="H74" t="s">
        <v>38</v>
      </c>
      <c r="I74" s="1" t="s">
        <v>45</v>
      </c>
      <c r="J74" s="1">
        <v>0.75</v>
      </c>
      <c r="K74" s="7">
        <v>1735.5</v>
      </c>
      <c r="L74">
        <v>180</v>
      </c>
      <c r="M74" s="7">
        <f>Tabell1[[#This Row],[Salgspris]]*Tabell1[[#This Row],[Totalt antall]]</f>
        <v>312390</v>
      </c>
      <c r="N74">
        <v>36</v>
      </c>
      <c r="O74">
        <v>18</v>
      </c>
      <c r="P74">
        <v>12</v>
      </c>
      <c r="Q74">
        <v>18</v>
      </c>
      <c r="R74">
        <v>12</v>
      </c>
      <c r="S74">
        <v>12</v>
      </c>
      <c r="T74">
        <v>12</v>
      </c>
      <c r="U74">
        <v>30</v>
      </c>
      <c r="V74">
        <v>18</v>
      </c>
      <c r="W74">
        <v>6</v>
      </c>
      <c r="X74">
        <v>6</v>
      </c>
      <c r="Y74" s="3"/>
    </row>
    <row r="75" spans="1:25" ht="32.1" customHeight="1" x14ac:dyDescent="0.25">
      <c r="A75" s="1">
        <v>1797401</v>
      </c>
      <c r="B75" t="s">
        <v>118</v>
      </c>
      <c r="C75" t="s">
        <v>96</v>
      </c>
      <c r="D75" s="1">
        <v>2018</v>
      </c>
      <c r="E75" t="s">
        <v>26</v>
      </c>
      <c r="F75" t="s">
        <v>27</v>
      </c>
      <c r="G75" t="s">
        <v>57</v>
      </c>
      <c r="H75" t="s">
        <v>29</v>
      </c>
      <c r="I75" s="1" t="s">
        <v>45</v>
      </c>
      <c r="J75" s="1">
        <v>0.75</v>
      </c>
      <c r="K75" s="7">
        <v>864.5</v>
      </c>
      <c r="L75">
        <v>180</v>
      </c>
      <c r="M75" s="7">
        <f>Tabell1[[#This Row],[Salgspris]]*Tabell1[[#This Row],[Totalt antall]]</f>
        <v>155610</v>
      </c>
      <c r="N75">
        <v>18</v>
      </c>
      <c r="O75">
        <v>18</v>
      </c>
      <c r="P75">
        <v>12</v>
      </c>
      <c r="Q75">
        <v>18</v>
      </c>
      <c r="R75">
        <v>12</v>
      </c>
      <c r="S75">
        <v>12</v>
      </c>
      <c r="T75">
        <v>12</v>
      </c>
      <c r="U75">
        <v>36</v>
      </c>
      <c r="V75">
        <v>30</v>
      </c>
      <c r="W75">
        <v>6</v>
      </c>
      <c r="X75">
        <v>6</v>
      </c>
      <c r="Y75" s="3"/>
    </row>
    <row r="76" spans="1:25" ht="32.1" customHeight="1" x14ac:dyDescent="0.25">
      <c r="A76" s="1">
        <v>12711105</v>
      </c>
      <c r="B76" t="s">
        <v>118</v>
      </c>
      <c r="C76" t="s">
        <v>96</v>
      </c>
      <c r="D76" s="1">
        <v>2018</v>
      </c>
      <c r="E76" t="s">
        <v>26</v>
      </c>
      <c r="F76" t="s">
        <v>27</v>
      </c>
      <c r="G76" t="s">
        <v>57</v>
      </c>
      <c r="H76" t="s">
        <v>29</v>
      </c>
      <c r="I76" s="1" t="s">
        <v>45</v>
      </c>
      <c r="J76" s="1">
        <v>1.5</v>
      </c>
      <c r="K76" s="7">
        <v>1772.2</v>
      </c>
      <c r="L76">
        <v>24</v>
      </c>
      <c r="M76" s="7">
        <f>Tabell1[[#This Row],[Salgspris]]*Tabell1[[#This Row],[Totalt antall]]</f>
        <v>42532.800000000003</v>
      </c>
      <c r="N76">
        <v>12</v>
      </c>
      <c r="O76">
        <v>6</v>
      </c>
      <c r="V76">
        <v>6</v>
      </c>
      <c r="X76"/>
      <c r="Y76" s="3"/>
    </row>
    <row r="77" spans="1:25" ht="32.1" customHeight="1" x14ac:dyDescent="0.25">
      <c r="A77" s="1">
        <v>1797501</v>
      </c>
      <c r="B77" t="s">
        <v>118</v>
      </c>
      <c r="C77" t="s">
        <v>59</v>
      </c>
      <c r="D77" s="1">
        <v>2018</v>
      </c>
      <c r="E77" t="s">
        <v>26</v>
      </c>
      <c r="F77" t="s">
        <v>27</v>
      </c>
      <c r="G77" t="s">
        <v>57</v>
      </c>
      <c r="H77" t="s">
        <v>29</v>
      </c>
      <c r="I77" s="1" t="s">
        <v>45</v>
      </c>
      <c r="J77" s="1">
        <v>0.75</v>
      </c>
      <c r="K77" s="7">
        <v>961.6</v>
      </c>
      <c r="L77">
        <v>180</v>
      </c>
      <c r="M77" s="7">
        <f>Tabell1[[#This Row],[Salgspris]]*Tabell1[[#This Row],[Totalt antall]]</f>
        <v>173088</v>
      </c>
      <c r="N77">
        <v>18</v>
      </c>
      <c r="O77">
        <v>18</v>
      </c>
      <c r="P77">
        <v>12</v>
      </c>
      <c r="Q77">
        <v>18</v>
      </c>
      <c r="R77">
        <v>12</v>
      </c>
      <c r="S77">
        <v>12</v>
      </c>
      <c r="T77">
        <v>12</v>
      </c>
      <c r="U77">
        <v>36</v>
      </c>
      <c r="V77">
        <v>30</v>
      </c>
      <c r="W77">
        <v>6</v>
      </c>
      <c r="X77">
        <v>6</v>
      </c>
      <c r="Y77" s="3"/>
    </row>
    <row r="78" spans="1:25" ht="32.1" customHeight="1" x14ac:dyDescent="0.25">
      <c r="A78" s="1">
        <v>12711005</v>
      </c>
      <c r="B78" t="s">
        <v>118</v>
      </c>
      <c r="C78" t="s">
        <v>59</v>
      </c>
      <c r="D78" s="1">
        <v>2018</v>
      </c>
      <c r="E78" t="s">
        <v>26</v>
      </c>
      <c r="F78" t="s">
        <v>27</v>
      </c>
      <c r="G78" t="s">
        <v>57</v>
      </c>
      <c r="H78" t="s">
        <v>29</v>
      </c>
      <c r="I78" s="1" t="s">
        <v>45</v>
      </c>
      <c r="J78" s="1">
        <v>1.5</v>
      </c>
      <c r="K78" s="7">
        <v>1932.2</v>
      </c>
      <c r="L78">
        <v>24</v>
      </c>
      <c r="M78" s="7">
        <f>Tabell1[[#This Row],[Salgspris]]*Tabell1[[#This Row],[Totalt antall]]</f>
        <v>46372.800000000003</v>
      </c>
      <c r="N78">
        <v>12</v>
      </c>
      <c r="Q78">
        <v>6</v>
      </c>
      <c r="V78">
        <v>6</v>
      </c>
      <c r="X78"/>
      <c r="Y78" s="3"/>
    </row>
    <row r="79" spans="1:25" ht="32.1" customHeight="1" x14ac:dyDescent="0.25">
      <c r="A79" s="1">
        <v>7081401</v>
      </c>
      <c r="B79" t="s">
        <v>118</v>
      </c>
      <c r="C79" t="s">
        <v>98</v>
      </c>
      <c r="D79" s="1">
        <v>2018</v>
      </c>
      <c r="E79" t="s">
        <v>26</v>
      </c>
      <c r="F79" t="s">
        <v>27</v>
      </c>
      <c r="G79" t="s">
        <v>99</v>
      </c>
      <c r="H79" t="s">
        <v>38</v>
      </c>
      <c r="I79" s="1" t="s">
        <v>45</v>
      </c>
      <c r="J79" s="1">
        <v>0.75</v>
      </c>
      <c r="K79" s="7">
        <v>3367.5</v>
      </c>
      <c r="L79">
        <v>12</v>
      </c>
      <c r="M79" s="7">
        <f>Tabell1[[#This Row],[Salgspris]]*Tabell1[[#This Row],[Totalt antall]]</f>
        <v>40410</v>
      </c>
      <c r="N79">
        <v>6</v>
      </c>
      <c r="O79">
        <v>1</v>
      </c>
      <c r="P79">
        <v>1</v>
      </c>
      <c r="Q79">
        <v>1</v>
      </c>
      <c r="S79">
        <v>1</v>
      </c>
      <c r="U79">
        <v>1</v>
      </c>
      <c r="V79">
        <v>1</v>
      </c>
      <c r="X79"/>
      <c r="Y79" s="3"/>
    </row>
    <row r="80" spans="1:25" ht="32.1" customHeight="1" x14ac:dyDescent="0.25">
      <c r="A80" s="1">
        <v>12718601</v>
      </c>
      <c r="B80" t="s">
        <v>118</v>
      </c>
      <c r="C80" t="s">
        <v>92</v>
      </c>
      <c r="D80" s="1">
        <v>2018</v>
      </c>
      <c r="E80" t="s">
        <v>26</v>
      </c>
      <c r="F80" t="s">
        <v>27</v>
      </c>
      <c r="G80" t="s">
        <v>91</v>
      </c>
      <c r="H80" t="s">
        <v>38</v>
      </c>
      <c r="I80" s="1" t="s">
        <v>45</v>
      </c>
      <c r="J80" s="1">
        <v>0.75</v>
      </c>
      <c r="K80" s="7">
        <v>6161</v>
      </c>
      <c r="L80">
        <v>12</v>
      </c>
      <c r="M80" s="7">
        <f>Tabell1[[#This Row],[Salgspris]]*Tabell1[[#This Row],[Totalt antall]]</f>
        <v>73932</v>
      </c>
      <c r="N80">
        <v>6</v>
      </c>
      <c r="O80">
        <v>1</v>
      </c>
      <c r="Q80">
        <v>1</v>
      </c>
      <c r="R80">
        <v>1</v>
      </c>
      <c r="T80">
        <v>1</v>
      </c>
      <c r="U80">
        <v>1</v>
      </c>
      <c r="V80">
        <v>1</v>
      </c>
      <c r="X80"/>
      <c r="Y80" s="3" t="s">
        <v>31</v>
      </c>
    </row>
    <row r="81" spans="1:25" ht="32.1" customHeight="1" x14ac:dyDescent="0.25">
      <c r="A81" s="1">
        <v>10727501</v>
      </c>
      <c r="B81" t="s">
        <v>118</v>
      </c>
      <c r="C81" t="s">
        <v>121</v>
      </c>
      <c r="D81" s="1">
        <v>2018</v>
      </c>
      <c r="E81" t="s">
        <v>26</v>
      </c>
      <c r="F81" t="s">
        <v>27</v>
      </c>
      <c r="G81" t="s">
        <v>120</v>
      </c>
      <c r="H81" t="s">
        <v>38</v>
      </c>
      <c r="I81" s="1" t="s">
        <v>30</v>
      </c>
      <c r="J81" s="1">
        <v>0.75</v>
      </c>
      <c r="K81" s="7">
        <v>1306.5999999999999</v>
      </c>
      <c r="L81">
        <v>60</v>
      </c>
      <c r="M81" s="7">
        <f>Tabell1[[#This Row],[Salgspris]]*Tabell1[[#This Row],[Totalt antall]]</f>
        <v>78396</v>
      </c>
      <c r="N81">
        <v>18</v>
      </c>
      <c r="O81">
        <v>6</v>
      </c>
      <c r="P81">
        <v>3</v>
      </c>
      <c r="Q81">
        <v>6</v>
      </c>
      <c r="R81">
        <v>3</v>
      </c>
      <c r="S81">
        <v>3</v>
      </c>
      <c r="T81">
        <v>3</v>
      </c>
      <c r="U81">
        <v>12</v>
      </c>
      <c r="V81">
        <v>6</v>
      </c>
      <c r="X81"/>
      <c r="Y81" s="3"/>
    </row>
    <row r="82" spans="1:25" ht="32.1" customHeight="1" x14ac:dyDescent="0.25">
      <c r="A82" s="1">
        <v>10722901</v>
      </c>
      <c r="B82" t="s">
        <v>118</v>
      </c>
      <c r="C82" t="s">
        <v>122</v>
      </c>
      <c r="D82" s="1">
        <v>2018</v>
      </c>
      <c r="E82" t="s">
        <v>26</v>
      </c>
      <c r="F82" t="s">
        <v>27</v>
      </c>
      <c r="G82" t="s">
        <v>123</v>
      </c>
      <c r="H82" t="s">
        <v>29</v>
      </c>
      <c r="I82" s="1" t="s">
        <v>30</v>
      </c>
      <c r="J82" s="1">
        <v>0.75</v>
      </c>
      <c r="K82" s="7">
        <v>1075.5999999999999</v>
      </c>
      <c r="L82">
        <v>132</v>
      </c>
      <c r="M82" s="7">
        <f>Tabell1[[#This Row],[Salgspris]]*Tabell1[[#This Row],[Totalt antall]]</f>
        <v>141979.19999999998</v>
      </c>
      <c r="N82">
        <v>30</v>
      </c>
      <c r="O82">
        <v>12</v>
      </c>
      <c r="P82">
        <v>6</v>
      </c>
      <c r="Q82">
        <v>12</v>
      </c>
      <c r="R82">
        <v>12</v>
      </c>
      <c r="S82">
        <v>6</v>
      </c>
      <c r="T82">
        <v>12</v>
      </c>
      <c r="U82">
        <v>18</v>
      </c>
      <c r="V82">
        <v>12</v>
      </c>
      <c r="W82">
        <v>6</v>
      </c>
      <c r="X82">
        <v>6</v>
      </c>
      <c r="Y82" s="3"/>
    </row>
    <row r="83" spans="1:25" ht="32.1" customHeight="1" x14ac:dyDescent="0.25">
      <c r="A83" s="1">
        <v>10726501</v>
      </c>
      <c r="B83" t="s">
        <v>118</v>
      </c>
      <c r="C83" t="s">
        <v>64</v>
      </c>
      <c r="D83" s="1">
        <v>2018</v>
      </c>
      <c r="E83" t="s">
        <v>26</v>
      </c>
      <c r="F83" t="s">
        <v>27</v>
      </c>
      <c r="G83" t="s">
        <v>35</v>
      </c>
      <c r="H83" t="s">
        <v>38</v>
      </c>
      <c r="I83" s="1" t="s">
        <v>30</v>
      </c>
      <c r="J83" s="1">
        <v>0.75</v>
      </c>
      <c r="K83" s="7">
        <v>3516.9</v>
      </c>
      <c r="L83">
        <v>24</v>
      </c>
      <c r="M83" s="7">
        <f>Tabell1[[#This Row],[Salgspris]]*Tabell1[[#This Row],[Totalt antall]]</f>
        <v>84405.6</v>
      </c>
      <c r="N83">
        <v>12</v>
      </c>
      <c r="O83">
        <v>3</v>
      </c>
      <c r="Q83">
        <v>3</v>
      </c>
      <c r="U83">
        <v>3</v>
      </c>
      <c r="V83">
        <v>3</v>
      </c>
      <c r="X83"/>
      <c r="Y83" s="3"/>
    </row>
    <row r="84" spans="1:25" ht="32.1" customHeight="1" x14ac:dyDescent="0.25">
      <c r="A84" s="1">
        <v>347501</v>
      </c>
      <c r="B84" t="s">
        <v>118</v>
      </c>
      <c r="C84" t="s">
        <v>124</v>
      </c>
      <c r="D84" s="1">
        <v>2018</v>
      </c>
      <c r="E84" t="s">
        <v>26</v>
      </c>
      <c r="F84" t="s">
        <v>27</v>
      </c>
      <c r="G84" t="s">
        <v>116</v>
      </c>
      <c r="H84" t="s">
        <v>29</v>
      </c>
      <c r="I84" s="1" t="s">
        <v>30</v>
      </c>
      <c r="J84" s="1">
        <v>0.75</v>
      </c>
      <c r="K84" s="7">
        <v>516.5</v>
      </c>
      <c r="L84">
        <v>132</v>
      </c>
      <c r="M84" s="7">
        <f>Tabell1[[#This Row],[Salgspris]]*Tabell1[[#This Row],[Totalt antall]]</f>
        <v>68178</v>
      </c>
      <c r="N84">
        <v>30</v>
      </c>
      <c r="O84">
        <v>12</v>
      </c>
      <c r="P84">
        <v>6</v>
      </c>
      <c r="Q84">
        <v>12</v>
      </c>
      <c r="R84">
        <v>12</v>
      </c>
      <c r="S84">
        <v>6</v>
      </c>
      <c r="T84">
        <v>12</v>
      </c>
      <c r="U84">
        <v>18</v>
      </c>
      <c r="V84">
        <v>12</v>
      </c>
      <c r="W84">
        <v>6</v>
      </c>
      <c r="X84">
        <v>6</v>
      </c>
      <c r="Y84" s="3"/>
    </row>
    <row r="85" spans="1:25" ht="32.1" customHeight="1" x14ac:dyDescent="0.25">
      <c r="A85" s="1">
        <v>9370901</v>
      </c>
      <c r="B85" t="s">
        <v>118</v>
      </c>
      <c r="C85" t="s">
        <v>125</v>
      </c>
      <c r="D85" s="1">
        <v>2018</v>
      </c>
      <c r="E85" t="s">
        <v>26</v>
      </c>
      <c r="F85" t="s">
        <v>27</v>
      </c>
      <c r="G85" t="s">
        <v>126</v>
      </c>
      <c r="H85" t="s">
        <v>29</v>
      </c>
      <c r="I85" s="1" t="s">
        <v>30</v>
      </c>
      <c r="J85" s="1">
        <v>0.75</v>
      </c>
      <c r="K85" s="7">
        <v>996.6</v>
      </c>
      <c r="L85">
        <v>132</v>
      </c>
      <c r="M85" s="7">
        <f>Tabell1[[#This Row],[Salgspris]]*Tabell1[[#This Row],[Totalt antall]]</f>
        <v>131551.20000000001</v>
      </c>
      <c r="N85">
        <v>30</v>
      </c>
      <c r="O85">
        <v>12</v>
      </c>
      <c r="P85">
        <v>6</v>
      </c>
      <c r="Q85">
        <v>12</v>
      </c>
      <c r="R85">
        <v>12</v>
      </c>
      <c r="S85">
        <v>6</v>
      </c>
      <c r="T85">
        <v>12</v>
      </c>
      <c r="U85">
        <v>18</v>
      </c>
      <c r="V85">
        <v>12</v>
      </c>
      <c r="W85">
        <v>6</v>
      </c>
      <c r="X85">
        <v>6</v>
      </c>
      <c r="Y85" s="3"/>
    </row>
    <row r="86" spans="1:25" ht="32.1" customHeight="1" x14ac:dyDescent="0.25">
      <c r="A86" s="1">
        <v>1797801</v>
      </c>
      <c r="B86" t="s">
        <v>118</v>
      </c>
      <c r="C86" t="s">
        <v>127</v>
      </c>
      <c r="D86" s="1">
        <v>2018</v>
      </c>
      <c r="E86" t="s">
        <v>26</v>
      </c>
      <c r="F86" t="s">
        <v>27</v>
      </c>
      <c r="G86" t="s">
        <v>28</v>
      </c>
      <c r="H86" t="s">
        <v>29</v>
      </c>
      <c r="I86" s="1" t="s">
        <v>30</v>
      </c>
      <c r="J86" s="1">
        <v>0.75</v>
      </c>
      <c r="K86" s="7">
        <v>815.5</v>
      </c>
      <c r="L86">
        <v>132</v>
      </c>
      <c r="M86" s="7">
        <f>Tabell1[[#This Row],[Salgspris]]*Tabell1[[#This Row],[Totalt antall]]</f>
        <v>107646</v>
      </c>
      <c r="N86">
        <v>30</v>
      </c>
      <c r="O86">
        <v>12</v>
      </c>
      <c r="P86">
        <v>6</v>
      </c>
      <c r="Q86">
        <v>12</v>
      </c>
      <c r="R86">
        <v>12</v>
      </c>
      <c r="S86">
        <v>6</v>
      </c>
      <c r="T86">
        <v>12</v>
      </c>
      <c r="U86">
        <v>18</v>
      </c>
      <c r="V86">
        <v>12</v>
      </c>
      <c r="W86">
        <v>6</v>
      </c>
      <c r="X86">
        <v>6</v>
      </c>
      <c r="Y86" s="3"/>
    </row>
    <row r="87" spans="1:25" ht="32.1" customHeight="1" x14ac:dyDescent="0.25">
      <c r="A87" s="1">
        <v>10723601</v>
      </c>
      <c r="B87" t="s">
        <v>118</v>
      </c>
      <c r="C87" t="s">
        <v>128</v>
      </c>
      <c r="D87" s="1">
        <v>2018</v>
      </c>
      <c r="E87" t="s">
        <v>26</v>
      </c>
      <c r="F87" t="s">
        <v>27</v>
      </c>
      <c r="G87" t="s">
        <v>28</v>
      </c>
      <c r="H87" t="s">
        <v>29</v>
      </c>
      <c r="I87" s="1" t="s">
        <v>30</v>
      </c>
      <c r="J87" s="1">
        <v>0.75</v>
      </c>
      <c r="K87" s="7">
        <v>744.6</v>
      </c>
      <c r="L87">
        <v>180</v>
      </c>
      <c r="M87" s="7">
        <f>Tabell1[[#This Row],[Salgspris]]*Tabell1[[#This Row],[Totalt antall]]</f>
        <v>134028</v>
      </c>
      <c r="N87">
        <v>18</v>
      </c>
      <c r="O87">
        <v>18</v>
      </c>
      <c r="P87">
        <v>12</v>
      </c>
      <c r="Q87">
        <v>18</v>
      </c>
      <c r="R87">
        <v>12</v>
      </c>
      <c r="S87">
        <v>12</v>
      </c>
      <c r="T87">
        <v>12</v>
      </c>
      <c r="U87">
        <v>36</v>
      </c>
      <c r="V87">
        <v>30</v>
      </c>
      <c r="W87">
        <v>6</v>
      </c>
      <c r="X87">
        <v>6</v>
      </c>
      <c r="Y87" s="3"/>
    </row>
    <row r="88" spans="1:25" ht="32.1" customHeight="1" x14ac:dyDescent="0.25">
      <c r="A88" s="1">
        <v>12767001</v>
      </c>
      <c r="B88" t="s">
        <v>129</v>
      </c>
      <c r="C88" t="s">
        <v>130</v>
      </c>
      <c r="D88" s="1">
        <v>2018</v>
      </c>
      <c r="E88" t="s">
        <v>26</v>
      </c>
      <c r="F88" t="s">
        <v>27</v>
      </c>
      <c r="G88" t="s">
        <v>57</v>
      </c>
      <c r="H88" t="s">
        <v>29</v>
      </c>
      <c r="I88" s="1" t="s">
        <v>45</v>
      </c>
      <c r="J88" s="1">
        <v>0.75</v>
      </c>
      <c r="K88" s="7">
        <v>1010.4</v>
      </c>
      <c r="L88">
        <v>60</v>
      </c>
      <c r="M88" s="7">
        <f>Tabell1[[#This Row],[Salgspris]]*Tabell1[[#This Row],[Totalt antall]]</f>
        <v>60624</v>
      </c>
      <c r="N88">
        <v>24</v>
      </c>
      <c r="O88">
        <v>6</v>
      </c>
      <c r="P88">
        <v>6</v>
      </c>
      <c r="Q88">
        <v>6</v>
      </c>
      <c r="R88">
        <v>6</v>
      </c>
      <c r="S88">
        <v>6</v>
      </c>
      <c r="U88">
        <v>6</v>
      </c>
      <c r="X88"/>
      <c r="Y88" s="3"/>
    </row>
    <row r="89" spans="1:25" ht="32.1" customHeight="1" x14ac:dyDescent="0.25">
      <c r="A89" s="1">
        <v>12767101</v>
      </c>
      <c r="B89" t="s">
        <v>129</v>
      </c>
      <c r="C89" t="s">
        <v>96</v>
      </c>
      <c r="D89" s="1">
        <v>2018</v>
      </c>
      <c r="E89" t="s">
        <v>26</v>
      </c>
      <c r="F89" t="s">
        <v>27</v>
      </c>
      <c r="G89" t="s">
        <v>57</v>
      </c>
      <c r="H89" t="s">
        <v>29</v>
      </c>
      <c r="I89" s="1" t="s">
        <v>45</v>
      </c>
      <c r="J89" s="1">
        <v>0.75</v>
      </c>
      <c r="K89" s="7">
        <v>1010.4</v>
      </c>
      <c r="L89">
        <v>60</v>
      </c>
      <c r="M89" s="7">
        <f>Tabell1[[#This Row],[Salgspris]]*Tabell1[[#This Row],[Totalt antall]]</f>
        <v>60624</v>
      </c>
      <c r="N89">
        <v>24</v>
      </c>
      <c r="O89">
        <v>6</v>
      </c>
      <c r="P89">
        <v>6</v>
      </c>
      <c r="T89">
        <v>6</v>
      </c>
      <c r="U89">
        <v>12</v>
      </c>
      <c r="V89">
        <v>6</v>
      </c>
      <c r="X89"/>
      <c r="Y89" s="3"/>
    </row>
    <row r="90" spans="1:25" ht="32.1" customHeight="1" x14ac:dyDescent="0.25">
      <c r="A90" s="1">
        <v>12766901</v>
      </c>
      <c r="B90" t="s">
        <v>129</v>
      </c>
      <c r="C90" t="s">
        <v>113</v>
      </c>
      <c r="D90" s="1">
        <v>2018</v>
      </c>
      <c r="E90" t="s">
        <v>26</v>
      </c>
      <c r="F90" t="s">
        <v>27</v>
      </c>
      <c r="G90" t="s">
        <v>57</v>
      </c>
      <c r="I90" s="1" t="s">
        <v>45</v>
      </c>
      <c r="J90" s="1">
        <v>0.75</v>
      </c>
      <c r="K90" s="7">
        <v>679.9</v>
      </c>
      <c r="L90">
        <v>120</v>
      </c>
      <c r="M90" s="7">
        <f>Tabell1[[#This Row],[Salgspris]]*Tabell1[[#This Row],[Totalt antall]]</f>
        <v>81588</v>
      </c>
      <c r="N90">
        <v>30</v>
      </c>
      <c r="O90">
        <v>12</v>
      </c>
      <c r="P90">
        <v>12</v>
      </c>
      <c r="Q90">
        <v>12</v>
      </c>
      <c r="S90">
        <v>12</v>
      </c>
      <c r="T90">
        <v>12</v>
      </c>
      <c r="U90">
        <v>18</v>
      </c>
      <c r="V90">
        <v>12</v>
      </c>
      <c r="X90"/>
      <c r="Y90" s="3"/>
    </row>
    <row r="91" spans="1:25" ht="32.1" customHeight="1" x14ac:dyDescent="0.25">
      <c r="A91" s="1">
        <v>12766801</v>
      </c>
      <c r="B91" t="s">
        <v>129</v>
      </c>
      <c r="C91" t="s">
        <v>59</v>
      </c>
      <c r="D91" s="1">
        <v>2018</v>
      </c>
      <c r="E91" t="s">
        <v>26</v>
      </c>
      <c r="F91" t="s">
        <v>27</v>
      </c>
      <c r="G91" t="s">
        <v>57</v>
      </c>
      <c r="H91" t="s">
        <v>29</v>
      </c>
      <c r="I91" s="1" t="s">
        <v>45</v>
      </c>
      <c r="J91" s="1">
        <v>0.75</v>
      </c>
      <c r="K91" s="7">
        <v>1223.7</v>
      </c>
      <c r="L91">
        <v>60</v>
      </c>
      <c r="M91" s="7">
        <f>Tabell1[[#This Row],[Salgspris]]*Tabell1[[#This Row],[Totalt antall]]</f>
        <v>73422</v>
      </c>
      <c r="N91">
        <v>24</v>
      </c>
      <c r="Q91">
        <v>6</v>
      </c>
      <c r="R91">
        <v>6</v>
      </c>
      <c r="S91">
        <v>6</v>
      </c>
      <c r="T91">
        <v>6</v>
      </c>
      <c r="U91">
        <v>12</v>
      </c>
      <c r="X91"/>
      <c r="Y91" s="3"/>
    </row>
    <row r="92" spans="1:25" ht="32.1" customHeight="1" x14ac:dyDescent="0.25">
      <c r="A92" s="1">
        <v>12767701</v>
      </c>
      <c r="B92" t="s">
        <v>129</v>
      </c>
      <c r="C92" t="s">
        <v>131</v>
      </c>
      <c r="D92" s="1">
        <v>2018</v>
      </c>
      <c r="E92" t="s">
        <v>26</v>
      </c>
      <c r="F92" t="s">
        <v>27</v>
      </c>
      <c r="G92" t="s">
        <v>57</v>
      </c>
      <c r="I92" s="1" t="s">
        <v>45</v>
      </c>
      <c r="J92" s="1">
        <v>0.75</v>
      </c>
      <c r="K92" s="7">
        <v>758.2</v>
      </c>
      <c r="L92">
        <v>120</v>
      </c>
      <c r="M92" s="7">
        <f>Tabell1[[#This Row],[Salgspris]]*Tabell1[[#This Row],[Totalt antall]]</f>
        <v>90984</v>
      </c>
      <c r="N92">
        <v>30</v>
      </c>
      <c r="O92">
        <v>12</v>
      </c>
      <c r="P92">
        <v>12</v>
      </c>
      <c r="Q92">
        <v>12</v>
      </c>
      <c r="S92">
        <v>12</v>
      </c>
      <c r="T92">
        <v>12</v>
      </c>
      <c r="U92">
        <v>18</v>
      </c>
      <c r="V92">
        <v>12</v>
      </c>
      <c r="X92"/>
      <c r="Y92" s="3"/>
    </row>
    <row r="93" spans="1:25" ht="32.1" customHeight="1" x14ac:dyDescent="0.25">
      <c r="A93" s="1">
        <v>12767401</v>
      </c>
      <c r="B93" t="s">
        <v>129</v>
      </c>
      <c r="C93" t="s">
        <v>132</v>
      </c>
      <c r="D93" s="1">
        <v>2018</v>
      </c>
      <c r="E93" t="s">
        <v>26</v>
      </c>
      <c r="F93" t="s">
        <v>27</v>
      </c>
      <c r="G93" t="s">
        <v>99</v>
      </c>
      <c r="H93" t="s">
        <v>29</v>
      </c>
      <c r="I93" s="1" t="s">
        <v>45</v>
      </c>
      <c r="J93" s="1">
        <v>0.75</v>
      </c>
      <c r="K93" s="7">
        <v>1223.7</v>
      </c>
      <c r="L93">
        <v>24</v>
      </c>
      <c r="M93" s="7">
        <f>Tabell1[[#This Row],[Salgspris]]*Tabell1[[#This Row],[Totalt antall]]</f>
        <v>29368.800000000003</v>
      </c>
      <c r="N93">
        <v>12</v>
      </c>
      <c r="P93">
        <v>6</v>
      </c>
      <c r="Q93">
        <v>6</v>
      </c>
      <c r="X93"/>
      <c r="Y93" s="3"/>
    </row>
    <row r="94" spans="1:25" ht="32.1" customHeight="1" x14ac:dyDescent="0.25">
      <c r="A94" s="1">
        <v>12767601</v>
      </c>
      <c r="B94" t="s">
        <v>129</v>
      </c>
      <c r="C94" t="s">
        <v>133</v>
      </c>
      <c r="D94" s="1">
        <v>2018</v>
      </c>
      <c r="E94" t="s">
        <v>26</v>
      </c>
      <c r="F94" t="s">
        <v>27</v>
      </c>
      <c r="G94" t="s">
        <v>99</v>
      </c>
      <c r="H94" t="s">
        <v>29</v>
      </c>
      <c r="I94" s="1" t="s">
        <v>45</v>
      </c>
      <c r="J94" s="1">
        <v>0.75</v>
      </c>
      <c r="K94" s="7">
        <v>1010.4</v>
      </c>
      <c r="L94">
        <v>60</v>
      </c>
      <c r="M94" s="7">
        <f>Tabell1[[#This Row],[Salgspris]]*Tabell1[[#This Row],[Totalt antall]]</f>
        <v>60624</v>
      </c>
      <c r="N94">
        <v>24</v>
      </c>
      <c r="O94">
        <v>6</v>
      </c>
      <c r="S94">
        <v>6</v>
      </c>
      <c r="T94">
        <v>6</v>
      </c>
      <c r="U94">
        <v>12</v>
      </c>
      <c r="V94">
        <v>6</v>
      </c>
      <c r="X94"/>
      <c r="Y94" s="3"/>
    </row>
    <row r="95" spans="1:25" ht="32.1" customHeight="1" x14ac:dyDescent="0.25">
      <c r="A95" s="1">
        <v>12767201</v>
      </c>
      <c r="B95" t="s">
        <v>129</v>
      </c>
      <c r="C95" t="s">
        <v>52</v>
      </c>
      <c r="D95" s="1">
        <v>2018</v>
      </c>
      <c r="E95" t="s">
        <v>26</v>
      </c>
      <c r="F95" t="s">
        <v>27</v>
      </c>
      <c r="I95" s="1" t="s">
        <v>45</v>
      </c>
      <c r="J95" s="1">
        <v>0.75</v>
      </c>
      <c r="K95" s="7">
        <v>349.1</v>
      </c>
      <c r="L95">
        <v>600</v>
      </c>
      <c r="M95" s="7">
        <f>Tabell1[[#This Row],[Salgspris]]*Tabell1[[#This Row],[Totalt antall]]</f>
        <v>209460</v>
      </c>
      <c r="N95">
        <v>108</v>
      </c>
      <c r="O95">
        <v>48</v>
      </c>
      <c r="P95">
        <v>48</v>
      </c>
      <c r="Q95">
        <v>48</v>
      </c>
      <c r="R95">
        <v>48</v>
      </c>
      <c r="S95">
        <v>48</v>
      </c>
      <c r="T95">
        <v>48</v>
      </c>
      <c r="U95">
        <v>84</v>
      </c>
      <c r="V95">
        <v>72</v>
      </c>
      <c r="W95">
        <v>24</v>
      </c>
      <c r="X95">
        <v>24</v>
      </c>
      <c r="Y95" s="3"/>
    </row>
    <row r="96" spans="1:25" ht="32.1" customHeight="1" x14ac:dyDescent="0.25">
      <c r="A96" s="1">
        <v>12756301</v>
      </c>
      <c r="B96" t="s">
        <v>134</v>
      </c>
      <c r="C96" t="s">
        <v>119</v>
      </c>
      <c r="D96" s="1">
        <v>2018</v>
      </c>
      <c r="E96" t="s">
        <v>26</v>
      </c>
      <c r="F96" t="s">
        <v>27</v>
      </c>
      <c r="G96" t="s">
        <v>120</v>
      </c>
      <c r="H96" t="s">
        <v>38</v>
      </c>
      <c r="I96" s="1" t="s">
        <v>45</v>
      </c>
      <c r="J96" s="1">
        <v>0.75</v>
      </c>
      <c r="K96" s="7">
        <v>1789.2</v>
      </c>
      <c r="L96">
        <v>12</v>
      </c>
      <c r="M96" s="7">
        <f>Tabell1[[#This Row],[Salgspris]]*Tabell1[[#This Row],[Totalt antall]]</f>
        <v>21470.400000000001</v>
      </c>
      <c r="N96">
        <v>6</v>
      </c>
      <c r="O96">
        <v>3</v>
      </c>
      <c r="Q96">
        <v>3</v>
      </c>
      <c r="X96"/>
      <c r="Y96" s="3"/>
    </row>
    <row r="97" spans="1:25" ht="32.1" customHeight="1" x14ac:dyDescent="0.25">
      <c r="A97" s="1">
        <v>12767501</v>
      </c>
      <c r="B97" t="s">
        <v>129</v>
      </c>
      <c r="C97" t="s">
        <v>135</v>
      </c>
      <c r="D97" s="1">
        <v>2018</v>
      </c>
      <c r="E97" t="s">
        <v>26</v>
      </c>
      <c r="F97" t="s">
        <v>27</v>
      </c>
      <c r="G97" t="s">
        <v>57</v>
      </c>
      <c r="H97" t="s">
        <v>29</v>
      </c>
      <c r="I97" s="1" t="s">
        <v>45</v>
      </c>
      <c r="J97" s="1">
        <v>0.75</v>
      </c>
      <c r="K97" s="7">
        <v>875.5</v>
      </c>
      <c r="L97">
        <v>60</v>
      </c>
      <c r="M97" s="7">
        <f>Tabell1[[#This Row],[Salgspris]]*Tabell1[[#This Row],[Totalt antall]]</f>
        <v>52530</v>
      </c>
      <c r="N97">
        <v>24</v>
      </c>
      <c r="O97">
        <v>6</v>
      </c>
      <c r="P97">
        <v>6</v>
      </c>
      <c r="Q97">
        <v>6</v>
      </c>
      <c r="R97">
        <v>6</v>
      </c>
      <c r="U97">
        <v>6</v>
      </c>
      <c r="V97">
        <v>6</v>
      </c>
      <c r="X97"/>
      <c r="Y97" s="3"/>
    </row>
    <row r="98" spans="1:25" ht="32.1" customHeight="1" x14ac:dyDescent="0.25">
      <c r="A98" s="1">
        <v>12755401</v>
      </c>
      <c r="B98" t="s">
        <v>134</v>
      </c>
      <c r="C98" t="s">
        <v>136</v>
      </c>
      <c r="D98" s="1">
        <v>2018</v>
      </c>
      <c r="E98" t="s">
        <v>26</v>
      </c>
      <c r="F98" t="s">
        <v>27</v>
      </c>
      <c r="G98" t="s">
        <v>57</v>
      </c>
      <c r="H98" t="s">
        <v>29</v>
      </c>
      <c r="I98" s="1" t="s">
        <v>45</v>
      </c>
      <c r="J98" s="1">
        <v>0.75</v>
      </c>
      <c r="K98" s="7">
        <v>1065.9000000000001</v>
      </c>
      <c r="L98">
        <v>48</v>
      </c>
      <c r="M98" s="7">
        <f>Tabell1[[#This Row],[Salgspris]]*Tabell1[[#This Row],[Totalt antall]]</f>
        <v>51163.200000000004</v>
      </c>
      <c r="N98">
        <v>18</v>
      </c>
      <c r="O98">
        <v>3</v>
      </c>
      <c r="P98">
        <v>3</v>
      </c>
      <c r="Q98">
        <v>3</v>
      </c>
      <c r="R98">
        <v>3</v>
      </c>
      <c r="S98">
        <v>3</v>
      </c>
      <c r="T98">
        <v>3</v>
      </c>
      <c r="U98">
        <v>9</v>
      </c>
      <c r="V98">
        <v>3</v>
      </c>
      <c r="X98"/>
      <c r="Y98" s="3"/>
    </row>
    <row r="99" spans="1:25" ht="32.1" customHeight="1" x14ac:dyDescent="0.25">
      <c r="A99" s="1">
        <v>12755601</v>
      </c>
      <c r="B99" t="s">
        <v>134</v>
      </c>
      <c r="C99" t="s">
        <v>95</v>
      </c>
      <c r="D99" s="1">
        <v>2018</v>
      </c>
      <c r="E99" t="s">
        <v>26</v>
      </c>
      <c r="F99" t="s">
        <v>27</v>
      </c>
      <c r="G99" t="s">
        <v>57</v>
      </c>
      <c r="H99" t="s">
        <v>29</v>
      </c>
      <c r="I99" s="1" t="s">
        <v>45</v>
      </c>
      <c r="J99" s="1">
        <v>0.75</v>
      </c>
      <c r="K99" s="7">
        <v>1065.9000000000001</v>
      </c>
      <c r="L99">
        <v>48</v>
      </c>
      <c r="M99" s="7">
        <f>Tabell1[[#This Row],[Salgspris]]*Tabell1[[#This Row],[Totalt antall]]</f>
        <v>51163.200000000004</v>
      </c>
      <c r="N99">
        <v>18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9</v>
      </c>
      <c r="V99">
        <v>3</v>
      </c>
      <c r="X99"/>
      <c r="Y99" s="3"/>
    </row>
    <row r="100" spans="1:25" ht="32.1" customHeight="1" x14ac:dyDescent="0.25">
      <c r="A100" s="1">
        <v>12755801</v>
      </c>
      <c r="B100" t="s">
        <v>134</v>
      </c>
      <c r="C100" t="s">
        <v>137</v>
      </c>
      <c r="D100" s="1">
        <v>2018</v>
      </c>
      <c r="E100" t="s">
        <v>26</v>
      </c>
      <c r="F100" t="s">
        <v>27</v>
      </c>
      <c r="G100" t="s">
        <v>57</v>
      </c>
      <c r="H100" t="s">
        <v>29</v>
      </c>
      <c r="I100" s="1" t="s">
        <v>45</v>
      </c>
      <c r="J100" s="1">
        <v>0.75</v>
      </c>
      <c r="K100" s="7">
        <v>1065.9000000000001</v>
      </c>
      <c r="L100">
        <v>48</v>
      </c>
      <c r="M100" s="7">
        <f>Tabell1[[#This Row],[Salgspris]]*Tabell1[[#This Row],[Totalt antall]]</f>
        <v>51163.200000000004</v>
      </c>
      <c r="N100">
        <v>18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9</v>
      </c>
      <c r="V100">
        <v>3</v>
      </c>
      <c r="X100"/>
      <c r="Y100" s="3"/>
    </row>
    <row r="101" spans="1:25" ht="32.1" customHeight="1" x14ac:dyDescent="0.25">
      <c r="A101" s="1">
        <v>12756201</v>
      </c>
      <c r="B101" t="s">
        <v>134</v>
      </c>
      <c r="C101" t="s">
        <v>138</v>
      </c>
      <c r="D101" s="1">
        <v>2018</v>
      </c>
      <c r="E101" t="s">
        <v>26</v>
      </c>
      <c r="F101" t="s">
        <v>27</v>
      </c>
      <c r="G101" t="s">
        <v>57</v>
      </c>
      <c r="H101" t="s">
        <v>29</v>
      </c>
      <c r="I101" s="1" t="s">
        <v>45</v>
      </c>
      <c r="J101" s="1">
        <v>0.75</v>
      </c>
      <c r="K101" s="7">
        <v>1065.9000000000001</v>
      </c>
      <c r="L101">
        <v>48</v>
      </c>
      <c r="M101" s="7">
        <f>Tabell1[[#This Row],[Salgspris]]*Tabell1[[#This Row],[Totalt antall]]</f>
        <v>51163.200000000004</v>
      </c>
      <c r="N101">
        <v>18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9</v>
      </c>
      <c r="V101">
        <v>3</v>
      </c>
      <c r="X101"/>
      <c r="Y101" s="3"/>
    </row>
    <row r="102" spans="1:25" ht="32.1" customHeight="1" x14ac:dyDescent="0.25">
      <c r="A102" s="1">
        <v>12755501</v>
      </c>
      <c r="B102" t="s">
        <v>134</v>
      </c>
      <c r="C102" t="s">
        <v>131</v>
      </c>
      <c r="D102" s="1">
        <v>2018</v>
      </c>
      <c r="E102" t="s">
        <v>26</v>
      </c>
      <c r="F102" t="s">
        <v>27</v>
      </c>
      <c r="G102" t="s">
        <v>57</v>
      </c>
      <c r="I102" s="1" t="s">
        <v>45</v>
      </c>
      <c r="J102" s="1">
        <v>0.75</v>
      </c>
      <c r="K102" s="7">
        <v>919.2</v>
      </c>
      <c r="L102">
        <v>84</v>
      </c>
      <c r="M102" s="7">
        <f>Tabell1[[#This Row],[Salgspris]]*Tabell1[[#This Row],[Totalt antall]]</f>
        <v>77212.800000000003</v>
      </c>
      <c r="N102">
        <v>30</v>
      </c>
      <c r="O102">
        <v>12</v>
      </c>
      <c r="P102">
        <v>3</v>
      </c>
      <c r="Q102">
        <v>9</v>
      </c>
      <c r="S102">
        <v>3</v>
      </c>
      <c r="T102">
        <v>3</v>
      </c>
      <c r="U102">
        <v>12</v>
      </c>
      <c r="V102">
        <v>6</v>
      </c>
      <c r="W102">
        <v>3</v>
      </c>
      <c r="X102">
        <v>3</v>
      </c>
      <c r="Y102" s="3"/>
    </row>
    <row r="103" spans="1:25" ht="32.1" customHeight="1" x14ac:dyDescent="0.25">
      <c r="A103" s="1">
        <v>12755701</v>
      </c>
      <c r="B103" t="s">
        <v>134</v>
      </c>
      <c r="C103" t="s">
        <v>139</v>
      </c>
      <c r="D103" s="1">
        <v>2018</v>
      </c>
      <c r="E103" t="s">
        <v>26</v>
      </c>
      <c r="F103" t="s">
        <v>27</v>
      </c>
      <c r="G103" t="s">
        <v>57</v>
      </c>
      <c r="I103" s="1" t="s">
        <v>45</v>
      </c>
      <c r="J103" s="1">
        <v>0.75</v>
      </c>
      <c r="K103" s="7">
        <v>707.1</v>
      </c>
      <c r="L103">
        <v>180</v>
      </c>
      <c r="M103" s="7">
        <f>Tabell1[[#This Row],[Salgspris]]*Tabell1[[#This Row],[Totalt antall]]</f>
        <v>127278</v>
      </c>
      <c r="N103">
        <v>42</v>
      </c>
      <c r="O103">
        <v>18</v>
      </c>
      <c r="P103">
        <v>12</v>
      </c>
      <c r="Q103">
        <v>18</v>
      </c>
      <c r="R103">
        <v>12</v>
      </c>
      <c r="S103">
        <v>12</v>
      </c>
      <c r="T103">
        <v>12</v>
      </c>
      <c r="U103">
        <v>18</v>
      </c>
      <c r="V103">
        <v>24</v>
      </c>
      <c r="W103">
        <v>6</v>
      </c>
      <c r="X103">
        <v>6</v>
      </c>
      <c r="Y103" s="3"/>
    </row>
    <row r="104" spans="1:25" ht="32.1" customHeight="1" x14ac:dyDescent="0.25">
      <c r="A104" s="1">
        <v>12756001</v>
      </c>
      <c r="B104" t="s">
        <v>134</v>
      </c>
      <c r="C104" t="s">
        <v>132</v>
      </c>
      <c r="D104" s="1">
        <v>2018</v>
      </c>
      <c r="E104" t="s">
        <v>26</v>
      </c>
      <c r="F104" t="s">
        <v>27</v>
      </c>
      <c r="G104" t="s">
        <v>99</v>
      </c>
      <c r="H104" t="s">
        <v>29</v>
      </c>
      <c r="I104" s="1" t="s">
        <v>45</v>
      </c>
      <c r="J104" s="1">
        <v>0.75</v>
      </c>
      <c r="K104" s="7">
        <v>1637.1</v>
      </c>
      <c r="L104">
        <v>36</v>
      </c>
      <c r="M104" s="7">
        <f>Tabell1[[#This Row],[Salgspris]]*Tabell1[[#This Row],[Totalt antall]]</f>
        <v>58935.6</v>
      </c>
      <c r="N104">
        <v>18</v>
      </c>
      <c r="O104">
        <v>6</v>
      </c>
      <c r="Q104">
        <v>6</v>
      </c>
      <c r="V104">
        <v>6</v>
      </c>
      <c r="X104"/>
      <c r="Y104" s="3"/>
    </row>
    <row r="105" spans="1:25" ht="32.1" customHeight="1" x14ac:dyDescent="0.25">
      <c r="A105" s="1">
        <v>12708601</v>
      </c>
      <c r="B105" t="s">
        <v>140</v>
      </c>
      <c r="C105" t="s">
        <v>141</v>
      </c>
      <c r="D105" s="1">
        <v>2018</v>
      </c>
      <c r="E105" t="s">
        <v>26</v>
      </c>
      <c r="F105" t="s">
        <v>27</v>
      </c>
      <c r="G105" t="s">
        <v>67</v>
      </c>
      <c r="I105" s="1" t="s">
        <v>30</v>
      </c>
      <c r="J105" s="1">
        <v>0.75</v>
      </c>
      <c r="K105" s="7">
        <v>864.3</v>
      </c>
      <c r="L105">
        <v>120</v>
      </c>
      <c r="M105" s="7">
        <f>Tabell1[[#This Row],[Salgspris]]*Tabell1[[#This Row],[Totalt antall]]</f>
        <v>103716</v>
      </c>
      <c r="N105">
        <v>30</v>
      </c>
      <c r="O105">
        <v>12</v>
      </c>
      <c r="P105">
        <v>12</v>
      </c>
      <c r="Q105">
        <v>12</v>
      </c>
      <c r="R105">
        <v>12</v>
      </c>
      <c r="S105">
        <v>12</v>
      </c>
      <c r="T105">
        <v>12</v>
      </c>
      <c r="U105">
        <v>18</v>
      </c>
      <c r="X105"/>
      <c r="Y105" s="3"/>
    </row>
    <row r="106" spans="1:25" ht="32.1" customHeight="1" x14ac:dyDescent="0.25">
      <c r="A106" s="1">
        <v>12709401</v>
      </c>
      <c r="B106" t="s">
        <v>140</v>
      </c>
      <c r="C106" t="s">
        <v>64</v>
      </c>
      <c r="D106" s="1">
        <v>2018</v>
      </c>
      <c r="E106" t="s">
        <v>26</v>
      </c>
      <c r="F106" t="s">
        <v>27</v>
      </c>
      <c r="G106" t="s">
        <v>35</v>
      </c>
      <c r="H106" t="s">
        <v>38</v>
      </c>
      <c r="I106" s="1" t="s">
        <v>30</v>
      </c>
      <c r="J106" s="1">
        <v>0.75</v>
      </c>
      <c r="K106" s="7">
        <v>3410.3</v>
      </c>
      <c r="L106">
        <v>12</v>
      </c>
      <c r="M106" s="7">
        <f>Tabell1[[#This Row],[Salgspris]]*Tabell1[[#This Row],[Totalt antall]]</f>
        <v>40923.600000000006</v>
      </c>
      <c r="N106">
        <v>6</v>
      </c>
      <c r="O106">
        <v>2</v>
      </c>
      <c r="Q106">
        <v>2</v>
      </c>
      <c r="U106">
        <v>1</v>
      </c>
      <c r="V106">
        <v>1</v>
      </c>
      <c r="X106"/>
      <c r="Y106" s="3"/>
    </row>
    <row r="107" spans="1:25" ht="32.1" customHeight="1" x14ac:dyDescent="0.25">
      <c r="A107" s="1">
        <v>12708901</v>
      </c>
      <c r="B107" t="s">
        <v>140</v>
      </c>
      <c r="C107" t="s">
        <v>142</v>
      </c>
      <c r="D107" s="1">
        <v>2018</v>
      </c>
      <c r="E107" t="s">
        <v>26</v>
      </c>
      <c r="F107" t="s">
        <v>27</v>
      </c>
      <c r="G107" t="s">
        <v>74</v>
      </c>
      <c r="H107" t="s">
        <v>29</v>
      </c>
      <c r="I107" s="1" t="s">
        <v>30</v>
      </c>
      <c r="J107" s="1">
        <v>0.75</v>
      </c>
      <c r="K107" s="7">
        <v>1187.4000000000001</v>
      </c>
      <c r="L107">
        <v>60</v>
      </c>
      <c r="M107" s="7">
        <f>Tabell1[[#This Row],[Salgspris]]*Tabell1[[#This Row],[Totalt antall]]</f>
        <v>71244</v>
      </c>
      <c r="N107">
        <v>18</v>
      </c>
      <c r="O107">
        <v>6</v>
      </c>
      <c r="P107">
        <v>3</v>
      </c>
      <c r="Q107">
        <v>6</v>
      </c>
      <c r="R107">
        <v>3</v>
      </c>
      <c r="S107">
        <v>3</v>
      </c>
      <c r="T107">
        <v>3</v>
      </c>
      <c r="U107">
        <v>15</v>
      </c>
      <c r="V107">
        <v>3</v>
      </c>
      <c r="X107"/>
      <c r="Y107" s="3"/>
    </row>
    <row r="108" spans="1:25" ht="32.1" customHeight="1" x14ac:dyDescent="0.25">
      <c r="A108" s="1">
        <v>4517301</v>
      </c>
      <c r="B108" t="s">
        <v>140</v>
      </c>
      <c r="C108" t="s">
        <v>143</v>
      </c>
      <c r="D108" s="1">
        <v>2018</v>
      </c>
      <c r="E108" t="s">
        <v>26</v>
      </c>
      <c r="F108" t="s">
        <v>27</v>
      </c>
      <c r="I108" s="1" t="s">
        <v>30</v>
      </c>
      <c r="J108" s="1">
        <v>0.75</v>
      </c>
      <c r="K108" s="7">
        <v>434</v>
      </c>
      <c r="L108">
        <v>180</v>
      </c>
      <c r="M108" s="7">
        <f>Tabell1[[#This Row],[Salgspris]]*Tabell1[[#This Row],[Totalt antall]]</f>
        <v>78120</v>
      </c>
      <c r="N108">
        <v>42</v>
      </c>
      <c r="O108">
        <v>18</v>
      </c>
      <c r="P108">
        <v>12</v>
      </c>
      <c r="Q108">
        <v>18</v>
      </c>
      <c r="R108">
        <v>12</v>
      </c>
      <c r="S108">
        <v>12</v>
      </c>
      <c r="T108">
        <v>12</v>
      </c>
      <c r="U108">
        <v>18</v>
      </c>
      <c r="V108">
        <v>24</v>
      </c>
      <c r="W108">
        <v>6</v>
      </c>
      <c r="X108">
        <v>6</v>
      </c>
      <c r="Y108" s="3"/>
    </row>
    <row r="109" spans="1:25" ht="32.1" customHeight="1" x14ac:dyDescent="0.25">
      <c r="A109" s="1">
        <v>12725801</v>
      </c>
      <c r="B109" t="s">
        <v>144</v>
      </c>
      <c r="C109" t="s">
        <v>99</v>
      </c>
      <c r="D109" s="1">
        <v>2018</v>
      </c>
      <c r="E109" t="s">
        <v>26</v>
      </c>
      <c r="F109" t="s">
        <v>27</v>
      </c>
      <c r="G109" t="s">
        <v>99</v>
      </c>
      <c r="I109" s="1" t="s">
        <v>45</v>
      </c>
      <c r="J109" s="1">
        <v>0.75</v>
      </c>
      <c r="K109" s="7">
        <v>711.4</v>
      </c>
      <c r="L109">
        <v>192</v>
      </c>
      <c r="M109" s="7">
        <f>Tabell1[[#This Row],[Salgspris]]*Tabell1[[#This Row],[Totalt antall]]</f>
        <v>136588.79999999999</v>
      </c>
      <c r="N109">
        <v>24</v>
      </c>
      <c r="O109">
        <v>24</v>
      </c>
      <c r="P109">
        <v>12</v>
      </c>
      <c r="Q109">
        <v>24</v>
      </c>
      <c r="R109">
        <v>12</v>
      </c>
      <c r="S109">
        <v>12</v>
      </c>
      <c r="T109">
        <v>12</v>
      </c>
      <c r="U109">
        <v>36</v>
      </c>
      <c r="V109">
        <v>24</v>
      </c>
      <c r="W109">
        <v>6</v>
      </c>
      <c r="X109">
        <v>6</v>
      </c>
      <c r="Y109" s="3"/>
    </row>
    <row r="110" spans="1:25" ht="32.1" customHeight="1" x14ac:dyDescent="0.25">
      <c r="A110" s="1">
        <v>12726001</v>
      </c>
      <c r="B110" t="s">
        <v>144</v>
      </c>
      <c r="C110" t="s">
        <v>105</v>
      </c>
      <c r="D110" s="1">
        <v>2018</v>
      </c>
      <c r="E110" t="s">
        <v>26</v>
      </c>
      <c r="F110" t="s">
        <v>27</v>
      </c>
      <c r="G110" t="s">
        <v>99</v>
      </c>
      <c r="H110" t="s">
        <v>29</v>
      </c>
      <c r="I110" s="1" t="s">
        <v>45</v>
      </c>
      <c r="J110" s="1">
        <v>0.75</v>
      </c>
      <c r="K110" s="7">
        <v>1025.4000000000001</v>
      </c>
      <c r="L110">
        <v>24</v>
      </c>
      <c r="M110" s="7">
        <f>Tabell1[[#This Row],[Salgspris]]*Tabell1[[#This Row],[Totalt antall]]</f>
        <v>24609.600000000002</v>
      </c>
      <c r="N110">
        <v>12</v>
      </c>
      <c r="O110">
        <v>3</v>
      </c>
      <c r="Q110">
        <v>3</v>
      </c>
      <c r="T110">
        <v>3</v>
      </c>
      <c r="U110">
        <v>3</v>
      </c>
      <c r="X110"/>
      <c r="Y110" s="3" t="s">
        <v>31</v>
      </c>
    </row>
    <row r="111" spans="1:25" ht="32.1" customHeight="1" x14ac:dyDescent="0.25">
      <c r="A111" s="1">
        <v>12725901</v>
      </c>
      <c r="B111" t="s">
        <v>144</v>
      </c>
      <c r="C111" t="s">
        <v>102</v>
      </c>
      <c r="D111" s="1">
        <v>2018</v>
      </c>
      <c r="E111" t="s">
        <v>26</v>
      </c>
      <c r="F111" t="s">
        <v>27</v>
      </c>
      <c r="G111" t="s">
        <v>99</v>
      </c>
      <c r="H111" t="s">
        <v>29</v>
      </c>
      <c r="I111" s="1" t="s">
        <v>45</v>
      </c>
      <c r="J111" s="1">
        <v>0.75</v>
      </c>
      <c r="K111" s="7">
        <v>1025.4000000000001</v>
      </c>
      <c r="L111">
        <v>24</v>
      </c>
      <c r="M111" s="7">
        <f>Tabell1[[#This Row],[Salgspris]]*Tabell1[[#This Row],[Totalt antall]]</f>
        <v>24609.600000000002</v>
      </c>
      <c r="N111">
        <v>12</v>
      </c>
      <c r="O111">
        <v>3</v>
      </c>
      <c r="Q111">
        <v>3</v>
      </c>
      <c r="U111">
        <v>3</v>
      </c>
      <c r="V111">
        <v>3</v>
      </c>
      <c r="X111"/>
      <c r="Y111" s="3" t="s">
        <v>31</v>
      </c>
    </row>
    <row r="112" spans="1:25" ht="32.1" customHeight="1" x14ac:dyDescent="0.25">
      <c r="A112" s="1">
        <v>12747201</v>
      </c>
      <c r="B112" t="s">
        <v>145</v>
      </c>
      <c r="C112" t="s">
        <v>146</v>
      </c>
      <c r="D112" s="1">
        <v>2018</v>
      </c>
      <c r="E112" t="s">
        <v>26</v>
      </c>
      <c r="F112" t="s">
        <v>27</v>
      </c>
      <c r="G112" t="s">
        <v>77</v>
      </c>
      <c r="H112" t="s">
        <v>38</v>
      </c>
      <c r="I112" s="1" t="s">
        <v>30</v>
      </c>
      <c r="J112" s="1">
        <v>0.75</v>
      </c>
      <c r="K112" s="7">
        <v>1715.9</v>
      </c>
      <c r="L112">
        <v>120</v>
      </c>
      <c r="M112" s="7">
        <f>Tabell1[[#This Row],[Salgspris]]*Tabell1[[#This Row],[Totalt antall]]</f>
        <v>205908</v>
      </c>
      <c r="N112">
        <v>30</v>
      </c>
      <c r="O112">
        <v>12</v>
      </c>
      <c r="P112">
        <v>12</v>
      </c>
      <c r="Q112">
        <v>12</v>
      </c>
      <c r="R112">
        <v>6</v>
      </c>
      <c r="S112">
        <v>12</v>
      </c>
      <c r="T112">
        <v>12</v>
      </c>
      <c r="U112">
        <v>12</v>
      </c>
      <c r="V112">
        <v>6</v>
      </c>
      <c r="W112">
        <v>3</v>
      </c>
      <c r="X112">
        <v>3</v>
      </c>
      <c r="Y112" s="3"/>
    </row>
    <row r="113" spans="1:25" ht="32.1" customHeight="1" x14ac:dyDescent="0.25">
      <c r="A113" s="1">
        <v>12747101</v>
      </c>
      <c r="B113" t="s">
        <v>145</v>
      </c>
      <c r="C113" t="s">
        <v>147</v>
      </c>
      <c r="D113" s="1">
        <v>2018</v>
      </c>
      <c r="E113" t="s">
        <v>26</v>
      </c>
      <c r="F113" t="s">
        <v>27</v>
      </c>
      <c r="G113" t="s">
        <v>77</v>
      </c>
      <c r="H113" t="s">
        <v>38</v>
      </c>
      <c r="I113" s="1" t="s">
        <v>30</v>
      </c>
      <c r="J113" s="1">
        <v>0.75</v>
      </c>
      <c r="K113" s="7">
        <v>2749.5</v>
      </c>
      <c r="L113">
        <v>60</v>
      </c>
      <c r="M113" s="7">
        <f>Tabell1[[#This Row],[Salgspris]]*Tabell1[[#This Row],[Totalt antall]]</f>
        <v>164970</v>
      </c>
      <c r="N113">
        <v>18</v>
      </c>
      <c r="O113">
        <v>6</v>
      </c>
      <c r="P113">
        <v>3</v>
      </c>
      <c r="Q113">
        <v>6</v>
      </c>
      <c r="R113">
        <v>3</v>
      </c>
      <c r="S113">
        <v>3</v>
      </c>
      <c r="T113">
        <v>3</v>
      </c>
      <c r="U113">
        <v>15</v>
      </c>
      <c r="V113">
        <v>3</v>
      </c>
      <c r="X113"/>
      <c r="Y113" s="3"/>
    </row>
    <row r="114" spans="1:25" ht="32.1" customHeight="1" x14ac:dyDescent="0.25">
      <c r="A114" s="1">
        <v>12775501</v>
      </c>
      <c r="B114" t="s">
        <v>148</v>
      </c>
      <c r="C114" t="s">
        <v>149</v>
      </c>
      <c r="D114" s="1">
        <v>2018</v>
      </c>
      <c r="E114" t="s">
        <v>26</v>
      </c>
      <c r="F114" t="s">
        <v>27</v>
      </c>
      <c r="G114" t="s">
        <v>150</v>
      </c>
      <c r="I114" s="1" t="s">
        <v>45</v>
      </c>
      <c r="J114" s="1">
        <v>0.75</v>
      </c>
      <c r="K114" s="7">
        <v>582.20000000000005</v>
      </c>
      <c r="L114">
        <v>120</v>
      </c>
      <c r="M114" s="7">
        <f>Tabell1[[#This Row],[Salgspris]]*Tabell1[[#This Row],[Totalt antall]]</f>
        <v>69864</v>
      </c>
      <c r="N114">
        <v>30</v>
      </c>
      <c r="O114">
        <v>12</v>
      </c>
      <c r="P114">
        <v>12</v>
      </c>
      <c r="Q114">
        <v>12</v>
      </c>
      <c r="R114">
        <v>12</v>
      </c>
      <c r="S114">
        <v>12</v>
      </c>
      <c r="T114">
        <v>12</v>
      </c>
      <c r="U114">
        <v>18</v>
      </c>
      <c r="X114"/>
      <c r="Y114" s="3"/>
    </row>
    <row r="115" spans="1:25" ht="32.1" customHeight="1" x14ac:dyDescent="0.25">
      <c r="A115" s="1">
        <v>12732101</v>
      </c>
      <c r="B115" t="s">
        <v>151</v>
      </c>
      <c r="C115" t="s">
        <v>119</v>
      </c>
      <c r="D115" s="1">
        <v>2018</v>
      </c>
      <c r="E115" t="s">
        <v>26</v>
      </c>
      <c r="F115" t="s">
        <v>27</v>
      </c>
      <c r="G115" t="s">
        <v>120</v>
      </c>
      <c r="H115" t="s">
        <v>38</v>
      </c>
      <c r="I115" s="1" t="s">
        <v>45</v>
      </c>
      <c r="J115" s="1">
        <v>0.75</v>
      </c>
      <c r="K115" s="7">
        <v>1461.5</v>
      </c>
      <c r="L115">
        <v>24</v>
      </c>
      <c r="M115" s="7">
        <f>Tabell1[[#This Row],[Salgspris]]*Tabell1[[#This Row],[Totalt antall]]</f>
        <v>35076</v>
      </c>
      <c r="N115">
        <v>12</v>
      </c>
      <c r="O115">
        <v>3</v>
      </c>
      <c r="Q115">
        <v>3</v>
      </c>
      <c r="R115">
        <v>3</v>
      </c>
      <c r="U115">
        <v>3</v>
      </c>
      <c r="X115"/>
      <c r="Y115" s="3"/>
    </row>
    <row r="116" spans="1:25" ht="32.1" customHeight="1" x14ac:dyDescent="0.25">
      <c r="A116" s="1">
        <v>12732201</v>
      </c>
      <c r="B116" t="s">
        <v>151</v>
      </c>
      <c r="C116" t="s">
        <v>152</v>
      </c>
      <c r="D116" s="1">
        <v>2018</v>
      </c>
      <c r="E116" t="s">
        <v>26</v>
      </c>
      <c r="F116" t="s">
        <v>27</v>
      </c>
      <c r="G116" t="s">
        <v>153</v>
      </c>
      <c r="H116" t="s">
        <v>29</v>
      </c>
      <c r="I116" s="1" t="s">
        <v>45</v>
      </c>
      <c r="J116" s="1">
        <v>0.75</v>
      </c>
      <c r="K116" s="7">
        <v>598.70000000000005</v>
      </c>
      <c r="L116">
        <v>180</v>
      </c>
      <c r="M116" s="7">
        <f>Tabell1[[#This Row],[Salgspris]]*Tabell1[[#This Row],[Totalt antall]]</f>
        <v>107766.00000000001</v>
      </c>
      <c r="N116">
        <v>42</v>
      </c>
      <c r="O116">
        <v>18</v>
      </c>
      <c r="P116">
        <v>12</v>
      </c>
      <c r="Q116">
        <v>18</v>
      </c>
      <c r="R116">
        <v>12</v>
      </c>
      <c r="S116">
        <v>12</v>
      </c>
      <c r="T116">
        <v>12</v>
      </c>
      <c r="U116">
        <v>18</v>
      </c>
      <c r="V116">
        <v>24</v>
      </c>
      <c r="W116">
        <v>6</v>
      </c>
      <c r="X116">
        <v>6</v>
      </c>
      <c r="Y116" s="3"/>
    </row>
    <row r="117" spans="1:25" ht="32.1" customHeight="1" x14ac:dyDescent="0.25">
      <c r="A117" s="1">
        <v>12732301</v>
      </c>
      <c r="B117" t="s">
        <v>151</v>
      </c>
      <c r="C117" t="s">
        <v>154</v>
      </c>
      <c r="D117" s="1">
        <v>2018</v>
      </c>
      <c r="E117" t="s">
        <v>26</v>
      </c>
      <c r="F117" t="s">
        <v>27</v>
      </c>
      <c r="G117" t="s">
        <v>153</v>
      </c>
      <c r="H117" t="s">
        <v>29</v>
      </c>
      <c r="I117" s="1" t="s">
        <v>30</v>
      </c>
      <c r="J117" s="1">
        <v>0.75</v>
      </c>
      <c r="K117" s="7">
        <v>606.5</v>
      </c>
      <c r="L117">
        <v>180</v>
      </c>
      <c r="M117" s="7">
        <f>Tabell1[[#This Row],[Salgspris]]*Tabell1[[#This Row],[Totalt antall]]</f>
        <v>109170</v>
      </c>
      <c r="N117">
        <v>42</v>
      </c>
      <c r="O117">
        <v>18</v>
      </c>
      <c r="P117">
        <v>12</v>
      </c>
      <c r="Q117">
        <v>18</v>
      </c>
      <c r="R117">
        <v>12</v>
      </c>
      <c r="S117">
        <v>12</v>
      </c>
      <c r="T117">
        <v>12</v>
      </c>
      <c r="U117">
        <v>18</v>
      </c>
      <c r="V117">
        <v>24</v>
      </c>
      <c r="W117">
        <v>6</v>
      </c>
      <c r="X117">
        <v>6</v>
      </c>
      <c r="Y117" s="3"/>
    </row>
    <row r="118" spans="1:25" ht="32.1" customHeight="1" x14ac:dyDescent="0.25">
      <c r="A118" s="1">
        <v>12725601</v>
      </c>
      <c r="B118" t="s">
        <v>155</v>
      </c>
      <c r="C118" t="s">
        <v>152</v>
      </c>
      <c r="D118" s="1">
        <v>2018</v>
      </c>
      <c r="E118" t="s">
        <v>26</v>
      </c>
      <c r="F118" t="s">
        <v>27</v>
      </c>
      <c r="G118" t="s">
        <v>153</v>
      </c>
      <c r="H118" t="s">
        <v>29</v>
      </c>
      <c r="I118" s="1" t="s">
        <v>45</v>
      </c>
      <c r="J118" s="1">
        <v>0.75</v>
      </c>
      <c r="K118" s="7">
        <v>560.6</v>
      </c>
      <c r="L118">
        <v>120</v>
      </c>
      <c r="M118" s="7">
        <f>Tabell1[[#This Row],[Salgspris]]*Tabell1[[#This Row],[Totalt antall]]</f>
        <v>67272</v>
      </c>
      <c r="N118">
        <v>30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18</v>
      </c>
      <c r="X118"/>
      <c r="Y118" s="3"/>
    </row>
    <row r="119" spans="1:25" ht="32.1" customHeight="1" x14ac:dyDescent="0.25">
      <c r="A119" s="1">
        <v>12725701</v>
      </c>
      <c r="B119" t="s">
        <v>155</v>
      </c>
      <c r="C119" t="s">
        <v>156</v>
      </c>
      <c r="D119" s="1">
        <v>2018</v>
      </c>
      <c r="E119" t="s">
        <v>26</v>
      </c>
      <c r="F119" t="s">
        <v>27</v>
      </c>
      <c r="G119" t="s">
        <v>153</v>
      </c>
      <c r="H119" t="s">
        <v>29</v>
      </c>
      <c r="I119" s="1" t="s">
        <v>30</v>
      </c>
      <c r="J119" s="1">
        <v>0.75</v>
      </c>
      <c r="K119" s="7">
        <v>550.5</v>
      </c>
      <c r="L119">
        <v>120</v>
      </c>
      <c r="M119" s="7">
        <f>Tabell1[[#This Row],[Salgspris]]*Tabell1[[#This Row],[Totalt antall]]</f>
        <v>66060</v>
      </c>
      <c r="N119">
        <v>30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12</v>
      </c>
      <c r="U119">
        <v>18</v>
      </c>
      <c r="X119"/>
      <c r="Y119" s="3"/>
    </row>
    <row r="120" spans="1:25" ht="32.1" customHeight="1" x14ac:dyDescent="0.25">
      <c r="A120" s="1">
        <v>12765901</v>
      </c>
      <c r="B120" t="s">
        <v>157</v>
      </c>
      <c r="C120" t="s">
        <v>158</v>
      </c>
      <c r="D120" s="1">
        <v>2018</v>
      </c>
      <c r="E120" t="s">
        <v>26</v>
      </c>
      <c r="F120" t="s">
        <v>27</v>
      </c>
      <c r="G120" t="s">
        <v>126</v>
      </c>
      <c r="H120" t="s">
        <v>29</v>
      </c>
      <c r="I120" s="1" t="s">
        <v>30</v>
      </c>
      <c r="J120" s="1">
        <v>0.75</v>
      </c>
      <c r="K120" s="7">
        <v>891.8</v>
      </c>
      <c r="L120">
        <v>180</v>
      </c>
      <c r="M120" s="7">
        <f>Tabell1[[#This Row],[Salgspris]]*Tabell1[[#This Row],[Totalt antall]]</f>
        <v>160524</v>
      </c>
      <c r="N120">
        <v>24</v>
      </c>
      <c r="O120">
        <v>18</v>
      </c>
      <c r="P120">
        <v>12</v>
      </c>
      <c r="Q120">
        <v>18</v>
      </c>
      <c r="R120">
        <v>12</v>
      </c>
      <c r="S120">
        <v>12</v>
      </c>
      <c r="T120">
        <v>12</v>
      </c>
      <c r="U120">
        <v>36</v>
      </c>
      <c r="V120">
        <v>24</v>
      </c>
      <c r="W120">
        <v>6</v>
      </c>
      <c r="X120">
        <v>6</v>
      </c>
      <c r="Y120" s="3"/>
    </row>
    <row r="121" spans="1:25" ht="32.1" customHeight="1" x14ac:dyDescent="0.25">
      <c r="A121" s="1">
        <v>12766601</v>
      </c>
      <c r="B121" t="s">
        <v>157</v>
      </c>
      <c r="C121" t="s">
        <v>159</v>
      </c>
      <c r="D121" s="1">
        <v>2018</v>
      </c>
      <c r="E121" t="s">
        <v>26</v>
      </c>
      <c r="F121" t="s">
        <v>27</v>
      </c>
      <c r="G121" t="s">
        <v>126</v>
      </c>
      <c r="H121" t="s">
        <v>29</v>
      </c>
      <c r="I121" s="1" t="s">
        <v>30</v>
      </c>
      <c r="J121" s="1">
        <v>0.75</v>
      </c>
      <c r="K121" s="7">
        <v>1201.9000000000001</v>
      </c>
      <c r="L121">
        <v>180</v>
      </c>
      <c r="M121" s="7">
        <f>Tabell1[[#This Row],[Salgspris]]*Tabell1[[#This Row],[Totalt antall]]</f>
        <v>216342.00000000003</v>
      </c>
      <c r="N121">
        <v>24</v>
      </c>
      <c r="O121">
        <v>18</v>
      </c>
      <c r="P121">
        <v>12</v>
      </c>
      <c r="Q121">
        <v>18</v>
      </c>
      <c r="R121">
        <v>12</v>
      </c>
      <c r="S121">
        <v>12</v>
      </c>
      <c r="T121">
        <v>12</v>
      </c>
      <c r="U121">
        <v>36</v>
      </c>
      <c r="V121">
        <v>24</v>
      </c>
      <c r="W121">
        <v>6</v>
      </c>
      <c r="X121">
        <v>6</v>
      </c>
      <c r="Y121" s="3" t="s">
        <v>160</v>
      </c>
    </row>
    <row r="122" spans="1:25" ht="32.1" customHeight="1" x14ac:dyDescent="0.25">
      <c r="A122" s="1">
        <v>12766101</v>
      </c>
      <c r="B122" t="s">
        <v>157</v>
      </c>
      <c r="C122" t="s">
        <v>161</v>
      </c>
      <c r="D122" s="1">
        <v>2018</v>
      </c>
      <c r="E122" t="s">
        <v>26</v>
      </c>
      <c r="F122" t="s">
        <v>27</v>
      </c>
      <c r="G122" t="s">
        <v>126</v>
      </c>
      <c r="H122" t="s">
        <v>29</v>
      </c>
      <c r="I122" s="1" t="s">
        <v>30</v>
      </c>
      <c r="J122" s="1">
        <v>0.75</v>
      </c>
      <c r="K122" s="7">
        <v>891.8</v>
      </c>
      <c r="L122">
        <v>180</v>
      </c>
      <c r="M122" s="7">
        <f>Tabell1[[#This Row],[Salgspris]]*Tabell1[[#This Row],[Totalt antall]]</f>
        <v>160524</v>
      </c>
      <c r="N122">
        <v>24</v>
      </c>
      <c r="O122">
        <v>18</v>
      </c>
      <c r="P122">
        <v>12</v>
      </c>
      <c r="Q122">
        <v>18</v>
      </c>
      <c r="R122">
        <v>12</v>
      </c>
      <c r="S122">
        <v>12</v>
      </c>
      <c r="T122">
        <v>12</v>
      </c>
      <c r="U122">
        <v>36</v>
      </c>
      <c r="V122">
        <v>24</v>
      </c>
      <c r="W122">
        <v>6</v>
      </c>
      <c r="X122">
        <v>6</v>
      </c>
      <c r="Y122" s="3"/>
    </row>
    <row r="123" spans="1:25" ht="32.1" customHeight="1" x14ac:dyDescent="0.25">
      <c r="A123" s="1">
        <v>12766701</v>
      </c>
      <c r="B123" t="s">
        <v>157</v>
      </c>
      <c r="C123" t="s">
        <v>162</v>
      </c>
      <c r="D123" s="1">
        <v>2018</v>
      </c>
      <c r="E123" t="s">
        <v>26</v>
      </c>
      <c r="F123" t="s">
        <v>27</v>
      </c>
      <c r="G123" t="s">
        <v>126</v>
      </c>
      <c r="H123" t="s">
        <v>29</v>
      </c>
      <c r="I123" s="1" t="s">
        <v>30</v>
      </c>
      <c r="J123" s="1">
        <v>0.75</v>
      </c>
      <c r="K123" s="7">
        <v>891.8</v>
      </c>
      <c r="L123">
        <v>180</v>
      </c>
      <c r="M123" s="7">
        <f>Tabell1[[#This Row],[Salgspris]]*Tabell1[[#This Row],[Totalt antall]]</f>
        <v>160524</v>
      </c>
      <c r="N123">
        <v>24</v>
      </c>
      <c r="O123">
        <v>18</v>
      </c>
      <c r="P123">
        <v>12</v>
      </c>
      <c r="Q123">
        <v>18</v>
      </c>
      <c r="R123">
        <v>12</v>
      </c>
      <c r="S123">
        <v>12</v>
      </c>
      <c r="T123">
        <v>12</v>
      </c>
      <c r="U123">
        <v>36</v>
      </c>
      <c r="V123">
        <v>24</v>
      </c>
      <c r="W123">
        <v>6</v>
      </c>
      <c r="X123">
        <v>6</v>
      </c>
      <c r="Y123" s="3"/>
    </row>
    <row r="124" spans="1:25" ht="32.1" customHeight="1" x14ac:dyDescent="0.25">
      <c r="A124" s="1">
        <v>12766501</v>
      </c>
      <c r="B124" t="s">
        <v>157</v>
      </c>
      <c r="C124" t="s">
        <v>163</v>
      </c>
      <c r="D124" s="1">
        <v>2018</v>
      </c>
      <c r="E124" t="s">
        <v>26</v>
      </c>
      <c r="F124" t="s">
        <v>27</v>
      </c>
      <c r="G124" t="s">
        <v>126</v>
      </c>
      <c r="H124" t="s">
        <v>29</v>
      </c>
      <c r="I124" s="1" t="s">
        <v>30</v>
      </c>
      <c r="J124" s="1">
        <v>0.75</v>
      </c>
      <c r="K124" s="7">
        <v>891.8</v>
      </c>
      <c r="L124">
        <v>180</v>
      </c>
      <c r="M124" s="7">
        <f>Tabell1[[#This Row],[Salgspris]]*Tabell1[[#This Row],[Totalt antall]]</f>
        <v>160524</v>
      </c>
      <c r="N124">
        <v>24</v>
      </c>
      <c r="O124">
        <v>18</v>
      </c>
      <c r="P124">
        <v>12</v>
      </c>
      <c r="Q124">
        <v>18</v>
      </c>
      <c r="R124">
        <v>12</v>
      </c>
      <c r="S124">
        <v>12</v>
      </c>
      <c r="T124">
        <v>12</v>
      </c>
      <c r="U124">
        <v>36</v>
      </c>
      <c r="V124">
        <v>24</v>
      </c>
      <c r="W124">
        <v>6</v>
      </c>
      <c r="X124">
        <v>6</v>
      </c>
      <c r="Y124" s="3"/>
    </row>
    <row r="125" spans="1:25" ht="32.1" customHeight="1" x14ac:dyDescent="0.25">
      <c r="A125" s="1">
        <v>12765801</v>
      </c>
      <c r="B125" t="s">
        <v>157</v>
      </c>
      <c r="C125" t="s">
        <v>164</v>
      </c>
      <c r="D125" s="1">
        <v>2018</v>
      </c>
      <c r="E125" t="s">
        <v>26</v>
      </c>
      <c r="F125" t="s">
        <v>27</v>
      </c>
      <c r="G125" t="s">
        <v>126</v>
      </c>
      <c r="H125" t="s">
        <v>29</v>
      </c>
      <c r="I125" s="1" t="s">
        <v>30</v>
      </c>
      <c r="J125" s="1">
        <v>0.75</v>
      </c>
      <c r="K125" s="7">
        <v>891.8</v>
      </c>
      <c r="L125">
        <v>180</v>
      </c>
      <c r="M125" s="7">
        <f>Tabell1[[#This Row],[Salgspris]]*Tabell1[[#This Row],[Totalt antall]]</f>
        <v>160524</v>
      </c>
      <c r="N125">
        <v>24</v>
      </c>
      <c r="O125">
        <v>18</v>
      </c>
      <c r="P125">
        <v>12</v>
      </c>
      <c r="Q125">
        <v>18</v>
      </c>
      <c r="R125">
        <v>12</v>
      </c>
      <c r="S125">
        <v>12</v>
      </c>
      <c r="T125">
        <v>12</v>
      </c>
      <c r="U125">
        <v>36</v>
      </c>
      <c r="V125">
        <v>24</v>
      </c>
      <c r="W125">
        <v>6</v>
      </c>
      <c r="X125">
        <v>6</v>
      </c>
      <c r="Y125" s="3"/>
    </row>
    <row r="126" spans="1:25" ht="32.1" customHeight="1" x14ac:dyDescent="0.25">
      <c r="A126" s="1">
        <v>12766401</v>
      </c>
      <c r="B126" t="s">
        <v>157</v>
      </c>
      <c r="C126" t="s">
        <v>165</v>
      </c>
      <c r="D126" s="1">
        <v>2018</v>
      </c>
      <c r="E126" t="s">
        <v>26</v>
      </c>
      <c r="F126" t="s">
        <v>27</v>
      </c>
      <c r="G126" t="s">
        <v>126</v>
      </c>
      <c r="H126" t="s">
        <v>29</v>
      </c>
      <c r="I126" s="1" t="s">
        <v>30</v>
      </c>
      <c r="J126" s="1">
        <v>0.75</v>
      </c>
      <c r="K126" s="7">
        <v>1403.2</v>
      </c>
      <c r="L126">
        <v>84</v>
      </c>
      <c r="M126" s="7">
        <f>Tabell1[[#This Row],[Salgspris]]*Tabell1[[#This Row],[Totalt antall]]</f>
        <v>117868.8</v>
      </c>
      <c r="N126">
        <v>24</v>
      </c>
      <c r="O126">
        <v>6</v>
      </c>
      <c r="P126">
        <v>6</v>
      </c>
      <c r="Q126">
        <v>6</v>
      </c>
      <c r="R126">
        <v>6</v>
      </c>
      <c r="S126">
        <v>6</v>
      </c>
      <c r="T126">
        <v>6</v>
      </c>
      <c r="U126">
        <v>12</v>
      </c>
      <c r="V126">
        <v>12</v>
      </c>
      <c r="X126"/>
      <c r="Y126" s="3" t="s">
        <v>88</v>
      </c>
    </row>
    <row r="127" spans="1:25" ht="32.1" customHeight="1" x14ac:dyDescent="0.25">
      <c r="A127" s="1">
        <v>12766301</v>
      </c>
      <c r="B127" t="s">
        <v>157</v>
      </c>
      <c r="C127" t="s">
        <v>166</v>
      </c>
      <c r="D127" s="1">
        <v>2018</v>
      </c>
      <c r="E127" t="s">
        <v>26</v>
      </c>
      <c r="F127" t="s">
        <v>27</v>
      </c>
      <c r="G127" t="s">
        <v>126</v>
      </c>
      <c r="H127" t="s">
        <v>29</v>
      </c>
      <c r="I127" s="1" t="s">
        <v>30</v>
      </c>
      <c r="J127" s="1">
        <v>0.75</v>
      </c>
      <c r="K127" s="7">
        <v>1201.9000000000001</v>
      </c>
      <c r="L127">
        <v>180</v>
      </c>
      <c r="M127" s="7">
        <f>Tabell1[[#This Row],[Salgspris]]*Tabell1[[#This Row],[Totalt antall]]</f>
        <v>216342.00000000003</v>
      </c>
      <c r="N127">
        <v>24</v>
      </c>
      <c r="O127">
        <v>18</v>
      </c>
      <c r="P127">
        <v>12</v>
      </c>
      <c r="Q127">
        <v>18</v>
      </c>
      <c r="R127">
        <v>12</v>
      </c>
      <c r="S127">
        <v>12</v>
      </c>
      <c r="T127">
        <v>12</v>
      </c>
      <c r="U127">
        <v>36</v>
      </c>
      <c r="V127">
        <v>24</v>
      </c>
      <c r="W127">
        <v>6</v>
      </c>
      <c r="X127">
        <v>6</v>
      </c>
      <c r="Y127" s="3" t="s">
        <v>160</v>
      </c>
    </row>
    <row r="128" spans="1:25" ht="32.1" customHeight="1" x14ac:dyDescent="0.25">
      <c r="A128" s="1">
        <v>12766001</v>
      </c>
      <c r="B128" t="s">
        <v>157</v>
      </c>
      <c r="C128" t="s">
        <v>167</v>
      </c>
      <c r="D128" s="1">
        <v>2018</v>
      </c>
      <c r="E128" t="s">
        <v>26</v>
      </c>
      <c r="F128" t="s">
        <v>27</v>
      </c>
      <c r="G128" t="s">
        <v>126</v>
      </c>
      <c r="I128" s="1" t="s">
        <v>30</v>
      </c>
      <c r="J128" s="1">
        <v>0.75</v>
      </c>
      <c r="K128" s="7">
        <v>658.1</v>
      </c>
      <c r="L128">
        <v>480</v>
      </c>
      <c r="M128" s="7">
        <f>Tabell1[[#This Row],[Salgspris]]*Tabell1[[#This Row],[Totalt antall]]</f>
        <v>315888</v>
      </c>
      <c r="N128">
        <v>48</v>
      </c>
      <c r="O128">
        <v>48</v>
      </c>
      <c r="P128">
        <v>36</v>
      </c>
      <c r="Q128">
        <v>48</v>
      </c>
      <c r="R128">
        <v>24</v>
      </c>
      <c r="S128">
        <v>36</v>
      </c>
      <c r="T128">
        <v>36</v>
      </c>
      <c r="U128">
        <v>108</v>
      </c>
      <c r="V128">
        <v>72</v>
      </c>
      <c r="W128">
        <v>12</v>
      </c>
      <c r="X128">
        <v>12</v>
      </c>
      <c r="Y128" s="3"/>
    </row>
    <row r="129" spans="1:25" ht="32.1" customHeight="1" x14ac:dyDescent="0.25">
      <c r="A129" s="1">
        <v>12766201</v>
      </c>
      <c r="B129" t="s">
        <v>157</v>
      </c>
      <c r="C129" t="s">
        <v>52</v>
      </c>
      <c r="D129" s="1">
        <v>2018</v>
      </c>
      <c r="E129" t="s">
        <v>26</v>
      </c>
      <c r="F129" t="s">
        <v>27</v>
      </c>
      <c r="I129" s="1" t="s">
        <v>30</v>
      </c>
      <c r="J129" s="1">
        <v>0.75</v>
      </c>
      <c r="K129" s="7">
        <v>425.3</v>
      </c>
      <c r="L129">
        <v>600</v>
      </c>
      <c r="M129" s="7">
        <f>Tabell1[[#This Row],[Salgspris]]*Tabell1[[#This Row],[Totalt antall]]</f>
        <v>255180</v>
      </c>
      <c r="N129">
        <v>48</v>
      </c>
      <c r="O129">
        <v>48</v>
      </c>
      <c r="P129">
        <v>48</v>
      </c>
      <c r="Q129">
        <v>48</v>
      </c>
      <c r="R129">
        <v>48</v>
      </c>
      <c r="S129">
        <v>48</v>
      </c>
      <c r="T129">
        <v>48</v>
      </c>
      <c r="U129">
        <v>144</v>
      </c>
      <c r="V129">
        <v>72</v>
      </c>
      <c r="W129">
        <v>24</v>
      </c>
      <c r="X129">
        <v>24</v>
      </c>
      <c r="Y129" s="3"/>
    </row>
    <row r="130" spans="1:25" ht="32.1" customHeight="1" x14ac:dyDescent="0.25">
      <c r="A130" s="1">
        <v>12704001</v>
      </c>
      <c r="B130" t="s">
        <v>168</v>
      </c>
      <c r="C130" t="s">
        <v>83</v>
      </c>
      <c r="D130" s="1">
        <v>2018</v>
      </c>
      <c r="E130" t="s">
        <v>26</v>
      </c>
      <c r="F130" t="s">
        <v>27</v>
      </c>
      <c r="G130" t="s">
        <v>84</v>
      </c>
      <c r="H130" t="s">
        <v>38</v>
      </c>
      <c r="I130" s="1" t="s">
        <v>30</v>
      </c>
      <c r="J130" s="1">
        <v>0.75</v>
      </c>
      <c r="K130" s="7">
        <v>3211.8</v>
      </c>
      <c r="L130">
        <v>96</v>
      </c>
      <c r="M130" s="7">
        <f>Tabell1[[#This Row],[Salgspris]]*Tabell1[[#This Row],[Totalt antall]]</f>
        <v>308332.80000000005</v>
      </c>
      <c r="N130">
        <v>30</v>
      </c>
      <c r="O130">
        <v>9</v>
      </c>
      <c r="P130">
        <v>6</v>
      </c>
      <c r="Q130">
        <v>9</v>
      </c>
      <c r="R130">
        <v>6</v>
      </c>
      <c r="S130">
        <v>6</v>
      </c>
      <c r="T130">
        <v>6</v>
      </c>
      <c r="U130">
        <v>12</v>
      </c>
      <c r="V130">
        <v>12</v>
      </c>
      <c r="X130"/>
      <c r="Y130" s="3"/>
    </row>
    <row r="131" spans="1:25" ht="32.1" customHeight="1" x14ac:dyDescent="0.25">
      <c r="A131" s="1">
        <v>12703901</v>
      </c>
      <c r="B131" t="s">
        <v>168</v>
      </c>
      <c r="C131" t="s">
        <v>64</v>
      </c>
      <c r="D131" s="1">
        <v>2018</v>
      </c>
      <c r="E131" t="s">
        <v>26</v>
      </c>
      <c r="F131" t="s">
        <v>27</v>
      </c>
      <c r="G131" t="s">
        <v>35</v>
      </c>
      <c r="H131" t="s">
        <v>38</v>
      </c>
      <c r="I131" s="1" t="s">
        <v>30</v>
      </c>
      <c r="J131" s="1">
        <v>0.75</v>
      </c>
      <c r="K131" s="7">
        <v>3211.8</v>
      </c>
      <c r="L131">
        <v>96</v>
      </c>
      <c r="M131" s="7">
        <f>Tabell1[[#This Row],[Salgspris]]*Tabell1[[#This Row],[Totalt antall]]</f>
        <v>308332.80000000005</v>
      </c>
      <c r="N131">
        <v>36</v>
      </c>
      <c r="O131">
        <v>9</v>
      </c>
      <c r="P131">
        <v>6</v>
      </c>
      <c r="Q131">
        <v>9</v>
      </c>
      <c r="R131">
        <v>6</v>
      </c>
      <c r="S131">
        <v>6</v>
      </c>
      <c r="T131">
        <v>6</v>
      </c>
      <c r="U131">
        <v>12</v>
      </c>
      <c r="V131">
        <v>6</v>
      </c>
      <c r="X131"/>
      <c r="Y131" s="3" t="s">
        <v>160</v>
      </c>
    </row>
    <row r="132" spans="1:25" ht="32.1" customHeight="1" x14ac:dyDescent="0.25">
      <c r="A132" s="1">
        <v>12703805</v>
      </c>
      <c r="B132" t="s">
        <v>168</v>
      </c>
      <c r="C132" t="s">
        <v>64</v>
      </c>
      <c r="D132" s="1">
        <v>2018</v>
      </c>
      <c r="E132" t="s">
        <v>26</v>
      </c>
      <c r="F132" t="s">
        <v>27</v>
      </c>
      <c r="G132" t="s">
        <v>35</v>
      </c>
      <c r="H132" t="s">
        <v>38</v>
      </c>
      <c r="I132" s="1" t="s">
        <v>30</v>
      </c>
      <c r="J132" s="1">
        <v>1.5</v>
      </c>
      <c r="K132" s="7">
        <v>6203.4</v>
      </c>
      <c r="L132">
        <v>24</v>
      </c>
      <c r="M132" s="7">
        <f>Tabell1[[#This Row],[Salgspris]]*Tabell1[[#This Row],[Totalt antall]]</f>
        <v>148881.59999999998</v>
      </c>
      <c r="N132">
        <v>12</v>
      </c>
      <c r="O132">
        <v>3</v>
      </c>
      <c r="Q132">
        <v>3</v>
      </c>
      <c r="U132">
        <v>3</v>
      </c>
      <c r="V132">
        <v>3</v>
      </c>
      <c r="X132"/>
      <c r="Y132" s="3" t="s">
        <v>31</v>
      </c>
    </row>
    <row r="133" spans="1:25" ht="32.1" customHeight="1" x14ac:dyDescent="0.25">
      <c r="A133" s="1">
        <v>12703401</v>
      </c>
      <c r="B133" t="s">
        <v>168</v>
      </c>
      <c r="C133" t="s">
        <v>72</v>
      </c>
      <c r="D133" s="1">
        <v>2018</v>
      </c>
      <c r="E133" t="s">
        <v>26</v>
      </c>
      <c r="F133" t="s">
        <v>27</v>
      </c>
      <c r="G133" t="s">
        <v>35</v>
      </c>
      <c r="H133" t="s">
        <v>29</v>
      </c>
      <c r="I133" s="1" t="s">
        <v>30</v>
      </c>
      <c r="J133" s="1">
        <v>0.75</v>
      </c>
      <c r="K133" s="7">
        <v>1533.8</v>
      </c>
      <c r="L133">
        <v>60</v>
      </c>
      <c r="M133" s="7">
        <f>Tabell1[[#This Row],[Salgspris]]*Tabell1[[#This Row],[Totalt antall]]</f>
        <v>92028</v>
      </c>
      <c r="N133">
        <v>18</v>
      </c>
      <c r="O133">
        <v>12</v>
      </c>
      <c r="Q133">
        <v>6</v>
      </c>
      <c r="R133">
        <v>6</v>
      </c>
      <c r="U133">
        <v>12</v>
      </c>
      <c r="V133">
        <v>6</v>
      </c>
      <c r="X133"/>
      <c r="Y133" s="3"/>
    </row>
    <row r="134" spans="1:25" ht="32.1" customHeight="1" x14ac:dyDescent="0.25">
      <c r="A134" s="1">
        <v>12703701</v>
      </c>
      <c r="B134" t="s">
        <v>168</v>
      </c>
      <c r="C134" t="s">
        <v>169</v>
      </c>
      <c r="D134" s="1">
        <v>2018</v>
      </c>
      <c r="E134" t="s">
        <v>26</v>
      </c>
      <c r="F134" t="s">
        <v>27</v>
      </c>
      <c r="G134" t="s">
        <v>35</v>
      </c>
      <c r="H134" t="s">
        <v>29</v>
      </c>
      <c r="I134" s="1" t="s">
        <v>30</v>
      </c>
      <c r="J134" s="1">
        <v>0.75</v>
      </c>
      <c r="K134" s="7">
        <v>2225.6999999999998</v>
      </c>
      <c r="L134">
        <v>60</v>
      </c>
      <c r="M134" s="7">
        <f>Tabell1[[#This Row],[Salgspris]]*Tabell1[[#This Row],[Totalt antall]]</f>
        <v>133542</v>
      </c>
      <c r="N134">
        <v>24</v>
      </c>
      <c r="O134">
        <v>6</v>
      </c>
      <c r="Q134">
        <v>6</v>
      </c>
      <c r="U134">
        <v>12</v>
      </c>
      <c r="V134">
        <v>12</v>
      </c>
      <c r="X134"/>
      <c r="Y134" s="3" t="s">
        <v>160</v>
      </c>
    </row>
    <row r="135" spans="1:25" ht="32.1" customHeight="1" x14ac:dyDescent="0.25">
      <c r="A135" s="1">
        <v>12703605</v>
      </c>
      <c r="B135" t="s">
        <v>168</v>
      </c>
      <c r="C135" t="s">
        <v>169</v>
      </c>
      <c r="D135" s="1">
        <v>2018</v>
      </c>
      <c r="E135" t="s">
        <v>26</v>
      </c>
      <c r="F135" t="s">
        <v>27</v>
      </c>
      <c r="G135" t="s">
        <v>35</v>
      </c>
      <c r="H135" t="s">
        <v>29</v>
      </c>
      <c r="I135" s="1" t="s">
        <v>30</v>
      </c>
      <c r="J135" s="1">
        <v>1.5</v>
      </c>
      <c r="K135" s="7">
        <v>4390.8</v>
      </c>
      <c r="L135">
        <v>36</v>
      </c>
      <c r="M135" s="7">
        <f>Tabell1[[#This Row],[Salgspris]]*Tabell1[[#This Row],[Totalt antall]]</f>
        <v>158068.80000000002</v>
      </c>
      <c r="N135">
        <v>18</v>
      </c>
      <c r="O135">
        <v>6</v>
      </c>
      <c r="Q135">
        <v>6</v>
      </c>
      <c r="U135">
        <v>3</v>
      </c>
      <c r="V135">
        <v>3</v>
      </c>
      <c r="X135"/>
      <c r="Y135" s="3" t="s">
        <v>31</v>
      </c>
    </row>
    <row r="136" spans="1:25" ht="32.1" customHeight="1" x14ac:dyDescent="0.25">
      <c r="A136" s="1">
        <v>12703501</v>
      </c>
      <c r="B136" t="s">
        <v>168</v>
      </c>
      <c r="C136" t="s">
        <v>170</v>
      </c>
      <c r="D136" s="1">
        <v>2018</v>
      </c>
      <c r="E136" t="s">
        <v>26</v>
      </c>
      <c r="F136" t="s">
        <v>27</v>
      </c>
      <c r="G136" t="s">
        <v>35</v>
      </c>
      <c r="H136" t="s">
        <v>29</v>
      </c>
      <c r="I136" s="1" t="s">
        <v>30</v>
      </c>
      <c r="J136" s="1">
        <v>0.75</v>
      </c>
      <c r="K136" s="7">
        <v>1308.9000000000001</v>
      </c>
      <c r="L136">
        <v>48</v>
      </c>
      <c r="M136" s="7">
        <f>Tabell1[[#This Row],[Salgspris]]*Tabell1[[#This Row],[Totalt antall]]</f>
        <v>62827.200000000004</v>
      </c>
      <c r="N136">
        <v>18</v>
      </c>
      <c r="O136">
        <v>6</v>
      </c>
      <c r="Q136">
        <v>6</v>
      </c>
      <c r="R136">
        <v>6</v>
      </c>
      <c r="U136">
        <v>12</v>
      </c>
      <c r="X136"/>
      <c r="Y136" s="3"/>
    </row>
    <row r="137" spans="1:25" ht="32.1" customHeight="1" x14ac:dyDescent="0.25">
      <c r="A137" s="1">
        <v>12707801</v>
      </c>
      <c r="B137" t="s">
        <v>168</v>
      </c>
      <c r="C137" t="s">
        <v>171</v>
      </c>
      <c r="D137" s="1">
        <v>2018</v>
      </c>
      <c r="E137" t="s">
        <v>26</v>
      </c>
      <c r="F137" t="s">
        <v>27</v>
      </c>
      <c r="G137" t="s">
        <v>172</v>
      </c>
      <c r="I137" s="1" t="s">
        <v>30</v>
      </c>
      <c r="J137" s="1">
        <v>0.75</v>
      </c>
      <c r="K137" s="7">
        <v>824.5</v>
      </c>
      <c r="L137">
        <v>168</v>
      </c>
      <c r="M137" s="7">
        <f>Tabell1[[#This Row],[Salgspris]]*Tabell1[[#This Row],[Totalt antall]]</f>
        <v>138516</v>
      </c>
      <c r="N137">
        <v>24</v>
      </c>
      <c r="O137">
        <v>18</v>
      </c>
      <c r="P137">
        <v>12</v>
      </c>
      <c r="Q137">
        <v>18</v>
      </c>
      <c r="R137">
        <v>12</v>
      </c>
      <c r="S137">
        <v>12</v>
      </c>
      <c r="T137">
        <v>12</v>
      </c>
      <c r="U137">
        <v>36</v>
      </c>
      <c r="V137">
        <v>24</v>
      </c>
      <c r="X137"/>
      <c r="Y137" s="3"/>
    </row>
    <row r="138" spans="1:25" ht="32.1" customHeight="1" x14ac:dyDescent="0.25">
      <c r="A138" s="1">
        <v>12706805</v>
      </c>
      <c r="B138" t="s">
        <v>168</v>
      </c>
      <c r="C138" t="s">
        <v>171</v>
      </c>
      <c r="D138" s="1">
        <v>2018</v>
      </c>
      <c r="E138" t="s">
        <v>26</v>
      </c>
      <c r="F138" t="s">
        <v>27</v>
      </c>
      <c r="G138" t="s">
        <v>172</v>
      </c>
      <c r="I138" s="1" t="s">
        <v>30</v>
      </c>
      <c r="J138" s="1">
        <v>1.5</v>
      </c>
      <c r="K138" s="7">
        <v>1697.6</v>
      </c>
      <c r="L138">
        <v>24</v>
      </c>
      <c r="M138" s="7">
        <f>Tabell1[[#This Row],[Salgspris]]*Tabell1[[#This Row],[Totalt antall]]</f>
        <v>40742.399999999994</v>
      </c>
      <c r="N138">
        <v>12</v>
      </c>
      <c r="O138">
        <v>3</v>
      </c>
      <c r="Q138">
        <v>3</v>
      </c>
      <c r="U138">
        <v>3</v>
      </c>
      <c r="V138">
        <v>3</v>
      </c>
      <c r="X138"/>
      <c r="Y138" s="3"/>
    </row>
    <row r="139" spans="1:25" ht="32.1" customHeight="1" x14ac:dyDescent="0.25">
      <c r="A139" s="1">
        <v>12706901</v>
      </c>
      <c r="B139" t="s">
        <v>168</v>
      </c>
      <c r="C139" t="s">
        <v>172</v>
      </c>
      <c r="D139" s="1">
        <v>2018</v>
      </c>
      <c r="E139" t="s">
        <v>26</v>
      </c>
      <c r="F139" t="s">
        <v>27</v>
      </c>
      <c r="G139" t="s">
        <v>172</v>
      </c>
      <c r="I139" s="1" t="s">
        <v>30</v>
      </c>
      <c r="J139" s="1">
        <v>0.75</v>
      </c>
      <c r="K139" s="7">
        <v>478.5</v>
      </c>
      <c r="L139">
        <v>360</v>
      </c>
      <c r="M139" s="7">
        <f>Tabell1[[#This Row],[Salgspris]]*Tabell1[[#This Row],[Totalt antall]]</f>
        <v>172260</v>
      </c>
      <c r="N139">
        <v>60</v>
      </c>
      <c r="O139">
        <v>36</v>
      </c>
      <c r="P139">
        <v>24</v>
      </c>
      <c r="Q139">
        <v>36</v>
      </c>
      <c r="R139">
        <v>12</v>
      </c>
      <c r="S139">
        <v>24</v>
      </c>
      <c r="T139">
        <v>24</v>
      </c>
      <c r="U139">
        <v>72</v>
      </c>
      <c r="V139">
        <v>48</v>
      </c>
      <c r="W139">
        <v>12</v>
      </c>
      <c r="X139">
        <v>12</v>
      </c>
      <c r="Y139" s="3"/>
    </row>
    <row r="140" spans="1:25" ht="32.1" customHeight="1" x14ac:dyDescent="0.25">
      <c r="A140" s="1">
        <v>12707401</v>
      </c>
      <c r="B140" t="s">
        <v>168</v>
      </c>
      <c r="C140" t="s">
        <v>173</v>
      </c>
      <c r="D140" s="1">
        <v>2018</v>
      </c>
      <c r="E140" t="s">
        <v>26</v>
      </c>
      <c r="F140" t="s">
        <v>27</v>
      </c>
      <c r="G140" t="s">
        <v>172</v>
      </c>
      <c r="I140" s="1" t="s">
        <v>30</v>
      </c>
      <c r="J140" s="1">
        <v>0.75</v>
      </c>
      <c r="K140" s="7">
        <v>565</v>
      </c>
      <c r="L140">
        <v>180</v>
      </c>
      <c r="M140" s="7">
        <f>Tabell1[[#This Row],[Salgspris]]*Tabell1[[#This Row],[Totalt antall]]</f>
        <v>101700</v>
      </c>
      <c r="N140">
        <v>24</v>
      </c>
      <c r="O140">
        <v>18</v>
      </c>
      <c r="P140">
        <v>12</v>
      </c>
      <c r="Q140">
        <v>18</v>
      </c>
      <c r="R140">
        <v>12</v>
      </c>
      <c r="S140">
        <v>12</v>
      </c>
      <c r="T140">
        <v>12</v>
      </c>
      <c r="U140">
        <v>36</v>
      </c>
      <c r="V140">
        <v>24</v>
      </c>
      <c r="W140">
        <v>6</v>
      </c>
      <c r="X140">
        <v>6</v>
      </c>
      <c r="Y140" s="3"/>
    </row>
    <row r="141" spans="1:25" ht="32.1" customHeight="1" x14ac:dyDescent="0.25">
      <c r="A141" s="1">
        <v>12707001</v>
      </c>
      <c r="B141" t="s">
        <v>168</v>
      </c>
      <c r="C141" t="s">
        <v>174</v>
      </c>
      <c r="D141" s="1">
        <v>2018</v>
      </c>
      <c r="E141" t="s">
        <v>26</v>
      </c>
      <c r="F141" t="s">
        <v>27</v>
      </c>
      <c r="G141" t="s">
        <v>172</v>
      </c>
      <c r="I141" s="1" t="s">
        <v>30</v>
      </c>
      <c r="J141" s="1">
        <v>0.75</v>
      </c>
      <c r="K141" s="7">
        <v>565</v>
      </c>
      <c r="L141">
        <v>132</v>
      </c>
      <c r="M141" s="7">
        <f>Tabell1[[#This Row],[Salgspris]]*Tabell1[[#This Row],[Totalt antall]]</f>
        <v>74580</v>
      </c>
      <c r="N141">
        <v>24</v>
      </c>
      <c r="O141">
        <v>12</v>
      </c>
      <c r="P141">
        <v>12</v>
      </c>
      <c r="Q141">
        <v>12</v>
      </c>
      <c r="R141">
        <v>12</v>
      </c>
      <c r="S141">
        <v>12</v>
      </c>
      <c r="T141">
        <v>12</v>
      </c>
      <c r="U141">
        <v>24</v>
      </c>
      <c r="V141">
        <v>12</v>
      </c>
      <c r="X141"/>
      <c r="Y141" s="3"/>
    </row>
    <row r="142" spans="1:25" ht="32.1" customHeight="1" x14ac:dyDescent="0.25">
      <c r="A142" s="1">
        <v>12703201</v>
      </c>
      <c r="B142" t="s">
        <v>168</v>
      </c>
      <c r="C142" t="s">
        <v>175</v>
      </c>
      <c r="D142" s="1">
        <v>2018</v>
      </c>
      <c r="E142" t="s">
        <v>26</v>
      </c>
      <c r="F142" t="s">
        <v>27</v>
      </c>
      <c r="G142" t="s">
        <v>176</v>
      </c>
      <c r="H142" t="s">
        <v>29</v>
      </c>
      <c r="I142" s="1" t="s">
        <v>30</v>
      </c>
      <c r="J142" s="1">
        <v>0.75</v>
      </c>
      <c r="K142" s="7">
        <v>1308.9000000000001</v>
      </c>
      <c r="L142">
        <v>120</v>
      </c>
      <c r="M142" s="7">
        <f>Tabell1[[#This Row],[Salgspris]]*Tabell1[[#This Row],[Totalt antall]]</f>
        <v>157068</v>
      </c>
      <c r="N142">
        <v>18</v>
      </c>
      <c r="O142">
        <v>12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30</v>
      </c>
      <c r="X142"/>
      <c r="Y142" s="3"/>
    </row>
    <row r="143" spans="1:25" ht="32.1" customHeight="1" x14ac:dyDescent="0.25">
      <c r="A143" s="1">
        <v>12703301</v>
      </c>
      <c r="B143" t="s">
        <v>168</v>
      </c>
      <c r="C143" t="s">
        <v>177</v>
      </c>
      <c r="D143" s="1">
        <v>2018</v>
      </c>
      <c r="E143" t="s">
        <v>26</v>
      </c>
      <c r="F143" t="s">
        <v>27</v>
      </c>
      <c r="G143" t="s">
        <v>176</v>
      </c>
      <c r="H143" t="s">
        <v>29</v>
      </c>
      <c r="I143" s="1" t="s">
        <v>30</v>
      </c>
      <c r="J143" s="1">
        <v>0.75</v>
      </c>
      <c r="K143" s="7">
        <v>824.5</v>
      </c>
      <c r="L143">
        <v>120</v>
      </c>
      <c r="M143" s="7">
        <f>Tabell1[[#This Row],[Salgspris]]*Tabell1[[#This Row],[Totalt antall]]</f>
        <v>98940</v>
      </c>
      <c r="N143">
        <v>18</v>
      </c>
      <c r="O143">
        <v>12</v>
      </c>
      <c r="P143">
        <v>12</v>
      </c>
      <c r="Q143">
        <v>12</v>
      </c>
      <c r="S143">
        <v>12</v>
      </c>
      <c r="T143">
        <v>12</v>
      </c>
      <c r="U143">
        <v>30</v>
      </c>
      <c r="V143">
        <v>12</v>
      </c>
      <c r="X143"/>
      <c r="Y143" s="3"/>
    </row>
    <row r="144" spans="1:25" ht="32.1" customHeight="1" x14ac:dyDescent="0.25">
      <c r="A144" s="1">
        <v>12707501</v>
      </c>
      <c r="B144" t="s">
        <v>168</v>
      </c>
      <c r="C144" t="s">
        <v>178</v>
      </c>
      <c r="D144" s="1">
        <v>2018</v>
      </c>
      <c r="E144" t="s">
        <v>26</v>
      </c>
      <c r="F144" t="s">
        <v>27</v>
      </c>
      <c r="G144" t="s">
        <v>176</v>
      </c>
      <c r="H144" t="s">
        <v>29</v>
      </c>
      <c r="I144" s="1" t="s">
        <v>30</v>
      </c>
      <c r="J144" s="1">
        <v>0.75</v>
      </c>
      <c r="K144" s="7">
        <v>599.6</v>
      </c>
      <c r="L144">
        <v>168</v>
      </c>
      <c r="M144" s="7">
        <f>Tabell1[[#This Row],[Salgspris]]*Tabell1[[#This Row],[Totalt antall]]</f>
        <v>100732.8</v>
      </c>
      <c r="N144">
        <v>24</v>
      </c>
      <c r="O144">
        <v>18</v>
      </c>
      <c r="P144">
        <v>12</v>
      </c>
      <c r="Q144">
        <v>18</v>
      </c>
      <c r="R144">
        <v>12</v>
      </c>
      <c r="S144">
        <v>12</v>
      </c>
      <c r="T144">
        <v>12</v>
      </c>
      <c r="U144">
        <v>36</v>
      </c>
      <c r="V144">
        <v>24</v>
      </c>
      <c r="X144"/>
      <c r="Y144" s="3"/>
    </row>
    <row r="145" spans="1:25" ht="32.1" customHeight="1" x14ac:dyDescent="0.25">
      <c r="A145" s="1">
        <v>12741901</v>
      </c>
      <c r="B145" t="s">
        <v>179</v>
      </c>
      <c r="C145" t="s">
        <v>119</v>
      </c>
      <c r="D145" s="1">
        <v>2018</v>
      </c>
      <c r="E145" t="s">
        <v>26</v>
      </c>
      <c r="F145" t="s">
        <v>27</v>
      </c>
      <c r="G145" t="s">
        <v>120</v>
      </c>
      <c r="H145" t="s">
        <v>38</v>
      </c>
      <c r="I145" s="1" t="s">
        <v>45</v>
      </c>
      <c r="J145" s="1">
        <v>0.75</v>
      </c>
      <c r="K145" s="7">
        <v>1769.5</v>
      </c>
      <c r="L145">
        <v>36</v>
      </c>
      <c r="M145" s="7">
        <f>Tabell1[[#This Row],[Salgspris]]*Tabell1[[#This Row],[Totalt antall]]</f>
        <v>63702</v>
      </c>
      <c r="N145">
        <v>18</v>
      </c>
      <c r="O145">
        <v>6</v>
      </c>
      <c r="Q145">
        <v>6</v>
      </c>
      <c r="U145">
        <v>6</v>
      </c>
      <c r="X145"/>
      <c r="Y145" s="3"/>
    </row>
    <row r="146" spans="1:25" ht="32.1" customHeight="1" x14ac:dyDescent="0.25">
      <c r="A146" s="1">
        <v>12742301</v>
      </c>
      <c r="B146" t="s">
        <v>179</v>
      </c>
      <c r="C146" t="s">
        <v>180</v>
      </c>
      <c r="D146" s="1">
        <v>2018</v>
      </c>
      <c r="E146" t="s">
        <v>26</v>
      </c>
      <c r="F146" t="s">
        <v>27</v>
      </c>
      <c r="G146" t="s">
        <v>55</v>
      </c>
      <c r="H146" t="s">
        <v>29</v>
      </c>
      <c r="I146" s="1" t="s">
        <v>45</v>
      </c>
      <c r="J146" s="1">
        <v>0.75</v>
      </c>
      <c r="K146" s="7">
        <v>821.5</v>
      </c>
      <c r="L146">
        <v>120</v>
      </c>
      <c r="M146" s="7">
        <f>Tabell1[[#This Row],[Salgspris]]*Tabell1[[#This Row],[Totalt antall]]</f>
        <v>98580</v>
      </c>
      <c r="N146">
        <v>36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X146"/>
      <c r="Y146" s="3"/>
    </row>
    <row r="147" spans="1:25" ht="32.1" customHeight="1" x14ac:dyDescent="0.25">
      <c r="A147" s="1">
        <v>12742201</v>
      </c>
      <c r="B147" t="s">
        <v>179</v>
      </c>
      <c r="C147" t="s">
        <v>95</v>
      </c>
      <c r="D147" s="1">
        <v>2018</v>
      </c>
      <c r="E147" t="s">
        <v>26</v>
      </c>
      <c r="F147" t="s">
        <v>27</v>
      </c>
      <c r="G147" t="s">
        <v>57</v>
      </c>
      <c r="H147" t="s">
        <v>29</v>
      </c>
      <c r="I147" s="1" t="s">
        <v>45</v>
      </c>
      <c r="J147" s="1">
        <v>0.75</v>
      </c>
      <c r="K147" s="7">
        <v>951.5</v>
      </c>
      <c r="L147">
        <v>120</v>
      </c>
      <c r="M147" s="7">
        <f>Tabell1[[#This Row],[Salgspris]]*Tabell1[[#This Row],[Totalt antall]]</f>
        <v>114180</v>
      </c>
      <c r="N147">
        <v>36</v>
      </c>
      <c r="O147">
        <v>12</v>
      </c>
      <c r="P147">
        <v>12</v>
      </c>
      <c r="Q147">
        <v>12</v>
      </c>
      <c r="R147">
        <v>12</v>
      </c>
      <c r="S147">
        <v>12</v>
      </c>
      <c r="T147">
        <v>12</v>
      </c>
      <c r="U147">
        <v>12</v>
      </c>
      <c r="X147"/>
      <c r="Y147" s="3"/>
    </row>
    <row r="148" spans="1:25" ht="32.1" customHeight="1" x14ac:dyDescent="0.25">
      <c r="A148" s="1">
        <v>12742101</v>
      </c>
      <c r="B148" t="s">
        <v>179</v>
      </c>
      <c r="C148" t="s">
        <v>58</v>
      </c>
      <c r="D148" s="1">
        <v>2018</v>
      </c>
      <c r="E148" t="s">
        <v>26</v>
      </c>
      <c r="F148" t="s">
        <v>27</v>
      </c>
      <c r="G148" t="s">
        <v>57</v>
      </c>
      <c r="I148" s="1" t="s">
        <v>45</v>
      </c>
      <c r="J148" s="1">
        <v>0.75</v>
      </c>
      <c r="K148" s="7">
        <v>681.5</v>
      </c>
      <c r="L148">
        <v>480</v>
      </c>
      <c r="M148" s="7">
        <f>Tabell1[[#This Row],[Salgspris]]*Tabell1[[#This Row],[Totalt antall]]</f>
        <v>327120</v>
      </c>
      <c r="N148">
        <v>84</v>
      </c>
      <c r="O148">
        <v>48</v>
      </c>
      <c r="P148">
        <v>36</v>
      </c>
      <c r="Q148">
        <v>48</v>
      </c>
      <c r="R148">
        <v>24</v>
      </c>
      <c r="S148">
        <v>36</v>
      </c>
      <c r="T148">
        <v>36</v>
      </c>
      <c r="U148">
        <v>84</v>
      </c>
      <c r="V148">
        <v>60</v>
      </c>
      <c r="W148">
        <v>12</v>
      </c>
      <c r="X148">
        <v>12</v>
      </c>
      <c r="Y148" s="3"/>
    </row>
    <row r="149" spans="1:25" ht="32.1" customHeight="1" x14ac:dyDescent="0.25">
      <c r="A149" s="1">
        <v>12742001</v>
      </c>
      <c r="B149" t="s">
        <v>179</v>
      </c>
      <c r="C149" t="s">
        <v>181</v>
      </c>
      <c r="D149" s="1">
        <v>2018</v>
      </c>
      <c r="E149" t="s">
        <v>26</v>
      </c>
      <c r="F149" t="s">
        <v>27</v>
      </c>
      <c r="G149" t="s">
        <v>57</v>
      </c>
      <c r="I149" s="1" t="s">
        <v>45</v>
      </c>
      <c r="J149" s="1">
        <v>0.75</v>
      </c>
      <c r="K149" s="7">
        <v>671.5</v>
      </c>
      <c r="L149">
        <v>240</v>
      </c>
      <c r="M149" s="7">
        <f>Tabell1[[#This Row],[Salgspris]]*Tabell1[[#This Row],[Totalt antall]]</f>
        <v>161160</v>
      </c>
      <c r="N149">
        <v>48</v>
      </c>
      <c r="O149">
        <v>24</v>
      </c>
      <c r="P149">
        <v>12</v>
      </c>
      <c r="Q149">
        <v>24</v>
      </c>
      <c r="R149">
        <v>12</v>
      </c>
      <c r="S149">
        <v>12</v>
      </c>
      <c r="T149">
        <v>12</v>
      </c>
      <c r="U149">
        <v>48</v>
      </c>
      <c r="V149">
        <v>24</v>
      </c>
      <c r="W149">
        <v>12</v>
      </c>
      <c r="X149">
        <v>12</v>
      </c>
      <c r="Y149" s="3"/>
    </row>
    <row r="150" spans="1:25" ht="32.1" customHeight="1" x14ac:dyDescent="0.25">
      <c r="A150" s="1">
        <v>12742401</v>
      </c>
      <c r="B150" t="s">
        <v>179</v>
      </c>
      <c r="C150" t="s">
        <v>182</v>
      </c>
      <c r="D150" s="1">
        <v>2018</v>
      </c>
      <c r="E150" t="s">
        <v>26</v>
      </c>
      <c r="F150" t="s">
        <v>27</v>
      </c>
      <c r="G150" t="s">
        <v>99</v>
      </c>
      <c r="H150" t="s">
        <v>29</v>
      </c>
      <c r="I150" s="1" t="s">
        <v>45</v>
      </c>
      <c r="J150" s="1">
        <v>0.75</v>
      </c>
      <c r="K150" s="7">
        <v>952.6</v>
      </c>
      <c r="L150">
        <v>144</v>
      </c>
      <c r="M150" s="7">
        <f>Tabell1[[#This Row],[Salgspris]]*Tabell1[[#This Row],[Totalt antall]]</f>
        <v>137174.39999999999</v>
      </c>
      <c r="N150">
        <v>36</v>
      </c>
      <c r="O150">
        <v>12</v>
      </c>
      <c r="P150">
        <v>12</v>
      </c>
      <c r="Q150">
        <v>12</v>
      </c>
      <c r="R150">
        <v>12</v>
      </c>
      <c r="S150">
        <v>12</v>
      </c>
      <c r="T150">
        <v>12</v>
      </c>
      <c r="U150">
        <v>12</v>
      </c>
      <c r="V150">
        <v>12</v>
      </c>
      <c r="W150">
        <v>6</v>
      </c>
      <c r="X150">
        <v>6</v>
      </c>
      <c r="Y150" s="3"/>
    </row>
    <row r="151" spans="1:25" ht="32.1" customHeight="1" x14ac:dyDescent="0.25">
      <c r="A151" s="1">
        <v>12693001</v>
      </c>
      <c r="B151" t="s">
        <v>183</v>
      </c>
      <c r="C151" t="s">
        <v>184</v>
      </c>
      <c r="D151" s="1">
        <v>2018</v>
      </c>
      <c r="E151" t="s">
        <v>26</v>
      </c>
      <c r="F151" t="s">
        <v>27</v>
      </c>
      <c r="G151" t="s">
        <v>42</v>
      </c>
      <c r="H151" t="s">
        <v>29</v>
      </c>
      <c r="I151" s="1" t="s">
        <v>30</v>
      </c>
      <c r="J151" s="1">
        <v>0.75</v>
      </c>
      <c r="K151" s="7">
        <v>1141.4000000000001</v>
      </c>
      <c r="L151">
        <v>48</v>
      </c>
      <c r="M151" s="7">
        <f>Tabell1[[#This Row],[Salgspris]]*Tabell1[[#This Row],[Totalt antall]]</f>
        <v>54787.200000000004</v>
      </c>
      <c r="N151">
        <v>12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3</v>
      </c>
      <c r="U151">
        <v>9</v>
      </c>
      <c r="V151">
        <v>3</v>
      </c>
      <c r="W151">
        <v>3</v>
      </c>
      <c r="X151">
        <v>3</v>
      </c>
      <c r="Y151" s="3"/>
    </row>
    <row r="152" spans="1:25" ht="32.1" customHeight="1" x14ac:dyDescent="0.25">
      <c r="A152" s="1">
        <v>12692805</v>
      </c>
      <c r="B152" t="s">
        <v>183</v>
      </c>
      <c r="C152" t="s">
        <v>184</v>
      </c>
      <c r="D152" s="1">
        <v>2018</v>
      </c>
      <c r="E152" t="s">
        <v>26</v>
      </c>
      <c r="F152" t="s">
        <v>27</v>
      </c>
      <c r="G152" t="s">
        <v>42</v>
      </c>
      <c r="H152" t="s">
        <v>29</v>
      </c>
      <c r="I152" s="1" t="s">
        <v>30</v>
      </c>
      <c r="J152" s="1">
        <v>1.5</v>
      </c>
      <c r="K152" s="7">
        <v>2217.9</v>
      </c>
      <c r="L152">
        <v>3</v>
      </c>
      <c r="M152" s="7">
        <f>Tabell1[[#This Row],[Salgspris]]*Tabell1[[#This Row],[Totalt antall]]</f>
        <v>6653.7000000000007</v>
      </c>
      <c r="N152">
        <v>3</v>
      </c>
      <c r="X152"/>
      <c r="Y152" s="3"/>
    </row>
    <row r="153" spans="1:25" ht="32.1" customHeight="1" x14ac:dyDescent="0.25">
      <c r="A153" s="1">
        <v>12693201</v>
      </c>
      <c r="B153" t="s">
        <v>183</v>
      </c>
      <c r="C153" t="s">
        <v>25</v>
      </c>
      <c r="D153" s="1">
        <v>2018</v>
      </c>
      <c r="E153" t="s">
        <v>26</v>
      </c>
      <c r="F153" t="s">
        <v>27</v>
      </c>
      <c r="G153" t="s">
        <v>28</v>
      </c>
      <c r="H153" t="s">
        <v>29</v>
      </c>
      <c r="I153" s="1" t="s">
        <v>30</v>
      </c>
      <c r="J153" s="1">
        <v>0.75</v>
      </c>
      <c r="K153" s="7">
        <v>1030.5</v>
      </c>
      <c r="L153">
        <v>18</v>
      </c>
      <c r="M153" s="7">
        <f>Tabell1[[#This Row],[Salgspris]]*Tabell1[[#This Row],[Totalt antall]]</f>
        <v>18549</v>
      </c>
      <c r="N153">
        <v>9</v>
      </c>
      <c r="O153">
        <v>3</v>
      </c>
      <c r="Q153">
        <v>3</v>
      </c>
      <c r="R153">
        <v>3</v>
      </c>
      <c r="X153"/>
      <c r="Y153" s="3"/>
    </row>
    <row r="154" spans="1:25" ht="32.1" customHeight="1" x14ac:dyDescent="0.25">
      <c r="A154" s="1">
        <v>12692701</v>
      </c>
      <c r="B154" t="s">
        <v>183</v>
      </c>
      <c r="C154" t="s">
        <v>185</v>
      </c>
      <c r="D154" s="1">
        <v>2018</v>
      </c>
      <c r="E154" t="s">
        <v>26</v>
      </c>
      <c r="F154" t="s">
        <v>27</v>
      </c>
      <c r="G154" t="s">
        <v>28</v>
      </c>
      <c r="H154" t="s">
        <v>29</v>
      </c>
      <c r="I154" s="1" t="s">
        <v>30</v>
      </c>
      <c r="J154" s="1">
        <v>0.75</v>
      </c>
      <c r="K154" s="7">
        <v>808.7</v>
      </c>
      <c r="L154">
        <v>42</v>
      </c>
      <c r="M154" s="7">
        <f>Tabell1[[#This Row],[Salgspris]]*Tabell1[[#This Row],[Totalt antall]]</f>
        <v>33965.4</v>
      </c>
      <c r="N154">
        <v>12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9</v>
      </c>
      <c r="V154">
        <v>3</v>
      </c>
      <c r="X154"/>
      <c r="Y154" s="3"/>
    </row>
    <row r="155" spans="1:25" ht="32.1" customHeight="1" x14ac:dyDescent="0.25">
      <c r="A155" s="1">
        <v>12692905</v>
      </c>
      <c r="B155" t="s">
        <v>183</v>
      </c>
      <c r="C155" t="s">
        <v>186</v>
      </c>
      <c r="D155" s="1">
        <v>2018</v>
      </c>
      <c r="E155" t="s">
        <v>26</v>
      </c>
      <c r="F155" t="s">
        <v>27</v>
      </c>
      <c r="G155" t="s">
        <v>28</v>
      </c>
      <c r="H155" t="s">
        <v>29</v>
      </c>
      <c r="I155" s="1" t="s">
        <v>30</v>
      </c>
      <c r="J155" s="1">
        <v>1.5</v>
      </c>
      <c r="K155" s="7">
        <v>2107.8000000000002</v>
      </c>
      <c r="L155">
        <v>3</v>
      </c>
      <c r="M155" s="7">
        <f>Tabell1[[#This Row],[Salgspris]]*Tabell1[[#This Row],[Totalt antall]]</f>
        <v>6323.4000000000005</v>
      </c>
      <c r="N155">
        <v>3</v>
      </c>
      <c r="X155"/>
      <c r="Y155" s="3"/>
    </row>
    <row r="156" spans="1:25" ht="32.1" customHeight="1" x14ac:dyDescent="0.25">
      <c r="A156" s="1">
        <v>12692601</v>
      </c>
      <c r="B156" t="s">
        <v>183</v>
      </c>
      <c r="C156" t="s">
        <v>187</v>
      </c>
      <c r="D156" s="1">
        <v>2018</v>
      </c>
      <c r="E156" t="s">
        <v>26</v>
      </c>
      <c r="F156" t="s">
        <v>27</v>
      </c>
      <c r="G156" t="s">
        <v>28</v>
      </c>
      <c r="H156" t="s">
        <v>29</v>
      </c>
      <c r="I156" s="1" t="s">
        <v>30</v>
      </c>
      <c r="J156" s="1">
        <v>0.75</v>
      </c>
      <c r="K156" s="7">
        <v>980.2</v>
      </c>
      <c r="L156">
        <v>30</v>
      </c>
      <c r="M156" s="7">
        <f>Tabell1[[#This Row],[Salgspris]]*Tabell1[[#This Row],[Totalt antall]]</f>
        <v>29406</v>
      </c>
      <c r="N156">
        <v>12</v>
      </c>
      <c r="O156">
        <v>3</v>
      </c>
      <c r="Q156">
        <v>3</v>
      </c>
      <c r="R156">
        <v>3</v>
      </c>
      <c r="U156">
        <v>6</v>
      </c>
      <c r="V156">
        <v>3</v>
      </c>
      <c r="X156"/>
      <c r="Y156" s="3"/>
    </row>
    <row r="157" spans="1:25" ht="32.1" customHeight="1" x14ac:dyDescent="0.25">
      <c r="A157" s="1">
        <v>12692301</v>
      </c>
      <c r="B157" t="s">
        <v>183</v>
      </c>
      <c r="C157" t="s">
        <v>188</v>
      </c>
      <c r="D157" s="1">
        <v>2018</v>
      </c>
      <c r="E157" t="s">
        <v>26</v>
      </c>
      <c r="F157" t="s">
        <v>27</v>
      </c>
      <c r="G157" t="s">
        <v>28</v>
      </c>
      <c r="H157" t="s">
        <v>29</v>
      </c>
      <c r="I157" s="1" t="s">
        <v>30</v>
      </c>
      <c r="J157" s="1">
        <v>0.75</v>
      </c>
      <c r="K157" s="7">
        <v>828.9</v>
      </c>
      <c r="L157">
        <v>24</v>
      </c>
      <c r="M157" s="7">
        <f>Tabell1[[#This Row],[Salgspris]]*Tabell1[[#This Row],[Totalt antall]]</f>
        <v>19893.599999999999</v>
      </c>
      <c r="N157">
        <v>12</v>
      </c>
      <c r="O157">
        <v>3</v>
      </c>
      <c r="Q157">
        <v>3</v>
      </c>
      <c r="R157">
        <v>3</v>
      </c>
      <c r="U157">
        <v>3</v>
      </c>
      <c r="X157"/>
      <c r="Y157" s="3"/>
    </row>
    <row r="158" spans="1:25" ht="32.1" customHeight="1" x14ac:dyDescent="0.25">
      <c r="A158" s="1">
        <v>12692401</v>
      </c>
      <c r="B158" t="s">
        <v>183</v>
      </c>
      <c r="C158" t="s">
        <v>189</v>
      </c>
      <c r="D158" s="1">
        <v>2018</v>
      </c>
      <c r="E158" t="s">
        <v>26</v>
      </c>
      <c r="F158" t="s">
        <v>27</v>
      </c>
      <c r="G158" t="s">
        <v>28</v>
      </c>
      <c r="H158" t="s">
        <v>29</v>
      </c>
      <c r="I158" s="1" t="s">
        <v>30</v>
      </c>
      <c r="J158" s="1">
        <v>0.75</v>
      </c>
      <c r="K158" s="7">
        <v>808.4</v>
      </c>
      <c r="L158">
        <v>30</v>
      </c>
      <c r="M158" s="7">
        <f>Tabell1[[#This Row],[Salgspris]]*Tabell1[[#This Row],[Totalt antall]]</f>
        <v>24252</v>
      </c>
      <c r="N158">
        <v>12</v>
      </c>
      <c r="O158">
        <v>3</v>
      </c>
      <c r="Q158">
        <v>3</v>
      </c>
      <c r="R158">
        <v>3</v>
      </c>
      <c r="U158">
        <v>6</v>
      </c>
      <c r="V158">
        <v>3</v>
      </c>
      <c r="X158"/>
      <c r="Y158" s="3"/>
    </row>
    <row r="159" spans="1:25" ht="32.1" customHeight="1" x14ac:dyDescent="0.25">
      <c r="A159" s="1">
        <v>12692505</v>
      </c>
      <c r="B159" t="s">
        <v>183</v>
      </c>
      <c r="C159" t="s">
        <v>189</v>
      </c>
      <c r="D159" s="1">
        <v>2018</v>
      </c>
      <c r="E159" t="s">
        <v>26</v>
      </c>
      <c r="F159" t="s">
        <v>27</v>
      </c>
      <c r="G159" t="s">
        <v>28</v>
      </c>
      <c r="H159" t="s">
        <v>29</v>
      </c>
      <c r="I159" s="1" t="s">
        <v>30</v>
      </c>
      <c r="J159" s="1">
        <v>1.5</v>
      </c>
      <c r="K159" s="7">
        <v>1614.3</v>
      </c>
      <c r="L159">
        <v>3</v>
      </c>
      <c r="M159" s="7">
        <f>Tabell1[[#This Row],[Salgspris]]*Tabell1[[#This Row],[Totalt antall]]</f>
        <v>4842.8999999999996</v>
      </c>
      <c r="N159">
        <v>3</v>
      </c>
      <c r="X159"/>
      <c r="Y159" s="3"/>
    </row>
    <row r="160" spans="1:25" ht="32.1" customHeight="1" x14ac:dyDescent="0.25">
      <c r="A160" s="1">
        <v>12694501</v>
      </c>
      <c r="B160" t="s">
        <v>190</v>
      </c>
      <c r="C160" t="s">
        <v>119</v>
      </c>
      <c r="D160" s="1">
        <v>2018</v>
      </c>
      <c r="E160" t="s">
        <v>26</v>
      </c>
      <c r="F160" t="s">
        <v>27</v>
      </c>
      <c r="G160" t="s">
        <v>120</v>
      </c>
      <c r="H160" t="s">
        <v>38</v>
      </c>
      <c r="I160" s="1" t="s">
        <v>45</v>
      </c>
      <c r="J160" s="1">
        <v>0.75</v>
      </c>
      <c r="K160" s="7">
        <v>1262.5</v>
      </c>
      <c r="L160">
        <v>12</v>
      </c>
      <c r="M160" s="7">
        <f>Tabell1[[#This Row],[Salgspris]]*Tabell1[[#This Row],[Totalt antall]]</f>
        <v>15150</v>
      </c>
      <c r="N160">
        <v>6</v>
      </c>
      <c r="O160">
        <v>2</v>
      </c>
      <c r="Q160">
        <v>2</v>
      </c>
      <c r="R160">
        <v>2</v>
      </c>
      <c r="X160"/>
      <c r="Y160" s="3"/>
    </row>
    <row r="161" spans="1:25" ht="32.1" customHeight="1" x14ac:dyDescent="0.25">
      <c r="A161" s="1">
        <v>12694401</v>
      </c>
      <c r="B161" t="s">
        <v>190</v>
      </c>
      <c r="C161" t="s">
        <v>191</v>
      </c>
      <c r="D161" s="1">
        <v>2018</v>
      </c>
      <c r="E161" t="s">
        <v>26</v>
      </c>
      <c r="F161" t="s">
        <v>27</v>
      </c>
      <c r="G161" t="s">
        <v>120</v>
      </c>
      <c r="H161" t="s">
        <v>38</v>
      </c>
      <c r="I161" s="1" t="s">
        <v>30</v>
      </c>
      <c r="J161" s="1">
        <v>0.75</v>
      </c>
      <c r="K161" s="7">
        <v>1020.6</v>
      </c>
      <c r="L161">
        <v>36</v>
      </c>
      <c r="M161" s="7">
        <f>Tabell1[[#This Row],[Salgspris]]*Tabell1[[#This Row],[Totalt antall]]</f>
        <v>36741.599999999999</v>
      </c>
      <c r="N161">
        <v>12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3</v>
      </c>
      <c r="U161">
        <v>3</v>
      </c>
      <c r="V161">
        <v>3</v>
      </c>
      <c r="X161"/>
      <c r="Y161" s="3"/>
    </row>
    <row r="162" spans="1:25" ht="32.1" customHeight="1" x14ac:dyDescent="0.25">
      <c r="A162" s="1">
        <v>12693301</v>
      </c>
      <c r="B162" t="s">
        <v>190</v>
      </c>
      <c r="C162" t="s">
        <v>192</v>
      </c>
      <c r="D162" s="1">
        <v>2018</v>
      </c>
      <c r="E162" t="s">
        <v>26</v>
      </c>
      <c r="F162" t="s">
        <v>27</v>
      </c>
      <c r="G162" t="s">
        <v>42</v>
      </c>
      <c r="H162" t="s">
        <v>29</v>
      </c>
      <c r="I162" s="1" t="s">
        <v>30</v>
      </c>
      <c r="J162" s="1">
        <v>0.75</v>
      </c>
      <c r="K162" s="7">
        <v>829.4</v>
      </c>
      <c r="L162">
        <v>60</v>
      </c>
      <c r="M162" s="7">
        <f>Tabell1[[#This Row],[Salgspris]]*Tabell1[[#This Row],[Totalt antall]]</f>
        <v>49764</v>
      </c>
      <c r="N162">
        <v>18</v>
      </c>
      <c r="O162">
        <v>6</v>
      </c>
      <c r="P162">
        <v>3</v>
      </c>
      <c r="Q162">
        <v>6</v>
      </c>
      <c r="R162">
        <v>6</v>
      </c>
      <c r="S162">
        <v>3</v>
      </c>
      <c r="T162">
        <v>6</v>
      </c>
      <c r="U162">
        <v>12</v>
      </c>
      <c r="X162"/>
      <c r="Y162" s="3"/>
    </row>
    <row r="163" spans="1:25" ht="32.1" customHeight="1" x14ac:dyDescent="0.25">
      <c r="A163" s="1">
        <v>12693601</v>
      </c>
      <c r="B163" t="s">
        <v>190</v>
      </c>
      <c r="C163" t="s">
        <v>193</v>
      </c>
      <c r="D163" s="1">
        <v>2018</v>
      </c>
      <c r="E163" t="s">
        <v>26</v>
      </c>
      <c r="F163" t="s">
        <v>27</v>
      </c>
      <c r="G163" t="s">
        <v>42</v>
      </c>
      <c r="H163" t="s">
        <v>29</v>
      </c>
      <c r="I163" s="1" t="s">
        <v>30</v>
      </c>
      <c r="J163" s="1">
        <v>0.75</v>
      </c>
      <c r="K163" s="7">
        <v>859.7</v>
      </c>
      <c r="L163">
        <v>60</v>
      </c>
      <c r="M163" s="7">
        <f>Tabell1[[#This Row],[Salgspris]]*Tabell1[[#This Row],[Totalt antall]]</f>
        <v>51582</v>
      </c>
      <c r="N163">
        <v>18</v>
      </c>
      <c r="O163">
        <v>6</v>
      </c>
      <c r="P163">
        <v>3</v>
      </c>
      <c r="Q163">
        <v>6</v>
      </c>
      <c r="S163">
        <v>3</v>
      </c>
      <c r="T163">
        <v>6</v>
      </c>
      <c r="U163">
        <v>12</v>
      </c>
      <c r="V163">
        <v>6</v>
      </c>
      <c r="X163"/>
      <c r="Y163" s="3"/>
    </row>
    <row r="164" spans="1:25" ht="32.1" customHeight="1" x14ac:dyDescent="0.25">
      <c r="A164" s="1">
        <v>12693501</v>
      </c>
      <c r="B164" t="s">
        <v>190</v>
      </c>
      <c r="C164" t="s">
        <v>194</v>
      </c>
      <c r="D164" s="1">
        <v>2018</v>
      </c>
      <c r="E164" t="s">
        <v>26</v>
      </c>
      <c r="F164" t="s">
        <v>27</v>
      </c>
      <c r="G164" t="s">
        <v>28</v>
      </c>
      <c r="H164" t="s">
        <v>29</v>
      </c>
      <c r="I164" s="1" t="s">
        <v>30</v>
      </c>
      <c r="J164" s="1">
        <v>0.75</v>
      </c>
      <c r="K164" s="7">
        <v>1020.6</v>
      </c>
      <c r="L164">
        <v>84</v>
      </c>
      <c r="M164" s="7">
        <f>Tabell1[[#This Row],[Salgspris]]*Tabell1[[#This Row],[Totalt antall]]</f>
        <v>85730.400000000009</v>
      </c>
      <c r="N164">
        <v>30</v>
      </c>
      <c r="O164">
        <v>6</v>
      </c>
      <c r="P164">
        <v>3</v>
      </c>
      <c r="Q164">
        <v>6</v>
      </c>
      <c r="R164">
        <v>3</v>
      </c>
      <c r="S164">
        <v>3</v>
      </c>
      <c r="T164">
        <v>6</v>
      </c>
      <c r="U164">
        <v>15</v>
      </c>
      <c r="V164">
        <v>6</v>
      </c>
      <c r="W164">
        <v>3</v>
      </c>
      <c r="X164">
        <v>3</v>
      </c>
      <c r="Y164" s="3"/>
    </row>
    <row r="165" spans="1:25" ht="32.1" customHeight="1" x14ac:dyDescent="0.25">
      <c r="A165" s="1">
        <v>3770401</v>
      </c>
      <c r="B165" t="s">
        <v>195</v>
      </c>
      <c r="C165" t="s">
        <v>196</v>
      </c>
      <c r="D165" s="1">
        <v>2018</v>
      </c>
      <c r="E165" t="s">
        <v>26</v>
      </c>
      <c r="F165" t="s">
        <v>27</v>
      </c>
      <c r="G165" t="s">
        <v>112</v>
      </c>
      <c r="I165" s="1" t="s">
        <v>30</v>
      </c>
      <c r="J165" s="1">
        <v>0.75</v>
      </c>
      <c r="K165" s="7">
        <v>451.3</v>
      </c>
      <c r="L165">
        <v>600</v>
      </c>
      <c r="M165" s="7">
        <f>Tabell1[[#This Row],[Salgspris]]*Tabell1[[#This Row],[Totalt antall]]</f>
        <v>270780</v>
      </c>
      <c r="N165">
        <v>84</v>
      </c>
      <c r="O165">
        <v>48</v>
      </c>
      <c r="P165">
        <v>48</v>
      </c>
      <c r="Q165">
        <v>48</v>
      </c>
      <c r="R165">
        <v>48</v>
      </c>
      <c r="S165">
        <v>48</v>
      </c>
      <c r="T165">
        <v>48</v>
      </c>
      <c r="U165">
        <v>108</v>
      </c>
      <c r="V165">
        <v>72</v>
      </c>
      <c r="W165">
        <v>24</v>
      </c>
      <c r="X165">
        <v>24</v>
      </c>
      <c r="Y165" s="3"/>
    </row>
    <row r="166" spans="1:25" ht="32.1" customHeight="1" x14ac:dyDescent="0.25">
      <c r="A166" s="1">
        <v>12749601</v>
      </c>
      <c r="B166" t="s">
        <v>197</v>
      </c>
      <c r="C166" t="s">
        <v>119</v>
      </c>
      <c r="D166" s="1">
        <v>2018</v>
      </c>
      <c r="E166" t="s">
        <v>26</v>
      </c>
      <c r="F166" t="s">
        <v>27</v>
      </c>
      <c r="G166" t="s">
        <v>120</v>
      </c>
      <c r="H166" t="s">
        <v>38</v>
      </c>
      <c r="I166" s="1" t="s">
        <v>45</v>
      </c>
      <c r="J166" s="1">
        <v>0.75</v>
      </c>
      <c r="K166" s="7">
        <v>1887.7</v>
      </c>
      <c r="L166">
        <v>6</v>
      </c>
      <c r="M166" s="7">
        <f>Tabell1[[#This Row],[Salgspris]]*Tabell1[[#This Row],[Totalt antall]]</f>
        <v>11326.2</v>
      </c>
      <c r="N166">
        <v>3</v>
      </c>
      <c r="O166">
        <v>1</v>
      </c>
      <c r="Q166">
        <v>1</v>
      </c>
      <c r="T166">
        <v>1</v>
      </c>
      <c r="X166"/>
      <c r="Y166" s="3" t="s">
        <v>198</v>
      </c>
    </row>
    <row r="167" spans="1:25" ht="32.1" customHeight="1" x14ac:dyDescent="0.25">
      <c r="A167" s="1">
        <v>12749401</v>
      </c>
      <c r="B167" t="s">
        <v>197</v>
      </c>
      <c r="C167" t="s">
        <v>199</v>
      </c>
      <c r="D167" s="1">
        <v>2018</v>
      </c>
      <c r="E167" t="s">
        <v>26</v>
      </c>
      <c r="F167" t="s">
        <v>27</v>
      </c>
      <c r="G167" t="s">
        <v>200</v>
      </c>
      <c r="H167" t="s">
        <v>29</v>
      </c>
      <c r="I167" s="1" t="s">
        <v>45</v>
      </c>
      <c r="J167" s="1">
        <v>0.75</v>
      </c>
      <c r="K167" s="7">
        <v>1063.0999999999999</v>
      </c>
      <c r="L167">
        <v>24</v>
      </c>
      <c r="M167" s="7">
        <f>Tabell1[[#This Row],[Salgspris]]*Tabell1[[#This Row],[Totalt antall]]</f>
        <v>25514.399999999998</v>
      </c>
      <c r="N167">
        <v>12</v>
      </c>
      <c r="O167">
        <v>3</v>
      </c>
      <c r="Q167">
        <v>3</v>
      </c>
      <c r="T167">
        <v>2</v>
      </c>
      <c r="U167">
        <v>2</v>
      </c>
      <c r="V167">
        <v>2</v>
      </c>
      <c r="X167"/>
      <c r="Y167" s="3" t="s">
        <v>198</v>
      </c>
    </row>
    <row r="168" spans="1:25" ht="32.1" customHeight="1" x14ac:dyDescent="0.25">
      <c r="A168" s="1">
        <v>12749501</v>
      </c>
      <c r="B168" t="s">
        <v>197</v>
      </c>
      <c r="C168" t="s">
        <v>57</v>
      </c>
      <c r="D168" s="1">
        <v>2018</v>
      </c>
      <c r="E168" t="s">
        <v>26</v>
      </c>
      <c r="F168" t="s">
        <v>27</v>
      </c>
      <c r="G168" t="s">
        <v>57</v>
      </c>
      <c r="I168" s="1" t="s">
        <v>45</v>
      </c>
      <c r="J168" s="1">
        <v>0.75</v>
      </c>
      <c r="K168" s="7">
        <v>795.5</v>
      </c>
      <c r="L168">
        <v>12</v>
      </c>
      <c r="M168" s="7">
        <f>Tabell1[[#This Row],[Salgspris]]*Tabell1[[#This Row],[Totalt antall]]</f>
        <v>9546</v>
      </c>
      <c r="N168">
        <v>6</v>
      </c>
      <c r="P168">
        <v>3</v>
      </c>
      <c r="S168">
        <v>3</v>
      </c>
      <c r="X168"/>
      <c r="Y168" s="3" t="s">
        <v>198</v>
      </c>
    </row>
    <row r="169" spans="1:25" ht="32.1" customHeight="1" x14ac:dyDescent="0.25">
      <c r="A169" s="1">
        <v>12775801</v>
      </c>
      <c r="B169" t="s">
        <v>201</v>
      </c>
      <c r="C169" t="s">
        <v>202</v>
      </c>
      <c r="D169" s="1">
        <v>2018</v>
      </c>
      <c r="E169" t="s">
        <v>26</v>
      </c>
      <c r="F169" t="s">
        <v>27</v>
      </c>
      <c r="G169" t="s">
        <v>126</v>
      </c>
      <c r="H169" t="s">
        <v>29</v>
      </c>
      <c r="I169" s="1" t="s">
        <v>30</v>
      </c>
      <c r="J169" s="1">
        <v>0.75</v>
      </c>
      <c r="K169" s="7">
        <v>1080.4000000000001</v>
      </c>
      <c r="L169">
        <v>48</v>
      </c>
      <c r="M169" s="7">
        <f>Tabell1[[#This Row],[Salgspris]]*Tabell1[[#This Row],[Totalt antall]]</f>
        <v>51859.200000000004</v>
      </c>
      <c r="N169">
        <v>21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6</v>
      </c>
      <c r="V169">
        <v>3</v>
      </c>
      <c r="X169"/>
      <c r="Y169" s="3"/>
    </row>
    <row r="170" spans="1:25" ht="32.1" customHeight="1" x14ac:dyDescent="0.25">
      <c r="A170" s="1">
        <v>12775901</v>
      </c>
      <c r="B170" t="s">
        <v>201</v>
      </c>
      <c r="C170" t="s">
        <v>203</v>
      </c>
      <c r="D170" s="1">
        <v>2018</v>
      </c>
      <c r="E170" t="s">
        <v>26</v>
      </c>
      <c r="F170" t="s">
        <v>27</v>
      </c>
      <c r="G170" t="s">
        <v>74</v>
      </c>
      <c r="H170" t="s">
        <v>38</v>
      </c>
      <c r="I170" s="1" t="s">
        <v>30</v>
      </c>
      <c r="J170" s="1">
        <v>0.75</v>
      </c>
      <c r="K170" s="7">
        <v>4904.8999999999996</v>
      </c>
      <c r="L170">
        <v>12</v>
      </c>
      <c r="M170" s="7">
        <f>Tabell1[[#This Row],[Salgspris]]*Tabell1[[#This Row],[Totalt antall]]</f>
        <v>58858.799999999996</v>
      </c>
      <c r="N170">
        <v>5</v>
      </c>
      <c r="O170">
        <v>1</v>
      </c>
      <c r="P170">
        <v>1</v>
      </c>
      <c r="Q170">
        <v>1</v>
      </c>
      <c r="S170">
        <v>1</v>
      </c>
      <c r="T170">
        <v>1</v>
      </c>
      <c r="U170">
        <v>1</v>
      </c>
      <c r="V170">
        <v>1</v>
      </c>
      <c r="X170"/>
      <c r="Y170" s="3"/>
    </row>
    <row r="171" spans="1:25" ht="32.1" customHeight="1" x14ac:dyDescent="0.25">
      <c r="A171" s="1">
        <v>12770901</v>
      </c>
      <c r="B171" t="s">
        <v>204</v>
      </c>
      <c r="C171" t="s">
        <v>67</v>
      </c>
      <c r="D171" s="1">
        <v>2018</v>
      </c>
      <c r="E171" t="s">
        <v>26</v>
      </c>
      <c r="F171" t="s">
        <v>27</v>
      </c>
      <c r="G171" t="s">
        <v>67</v>
      </c>
      <c r="I171" s="1" t="s">
        <v>30</v>
      </c>
      <c r="J171" s="1">
        <v>0.75</v>
      </c>
      <c r="K171" s="7">
        <v>752</v>
      </c>
      <c r="L171">
        <v>72</v>
      </c>
      <c r="M171" s="7">
        <f>Tabell1[[#This Row],[Salgspris]]*Tabell1[[#This Row],[Totalt antall]]</f>
        <v>54144</v>
      </c>
      <c r="N171">
        <v>18</v>
      </c>
      <c r="O171">
        <v>6</v>
      </c>
      <c r="P171">
        <v>3</v>
      </c>
      <c r="Q171">
        <v>6</v>
      </c>
      <c r="S171">
        <v>3</v>
      </c>
      <c r="T171">
        <v>6</v>
      </c>
      <c r="U171">
        <v>18</v>
      </c>
      <c r="V171">
        <v>6</v>
      </c>
      <c r="W171">
        <v>3</v>
      </c>
      <c r="X171">
        <v>3</v>
      </c>
      <c r="Y171" s="3" t="s">
        <v>88</v>
      </c>
    </row>
    <row r="172" spans="1:25" ht="32.1" customHeight="1" x14ac:dyDescent="0.25">
      <c r="A172" s="1">
        <v>12771001</v>
      </c>
      <c r="B172" t="s">
        <v>204</v>
      </c>
      <c r="C172" t="s">
        <v>205</v>
      </c>
      <c r="D172" s="1">
        <v>2018</v>
      </c>
      <c r="E172" t="s">
        <v>26</v>
      </c>
      <c r="F172" t="s">
        <v>27</v>
      </c>
      <c r="G172" t="s">
        <v>63</v>
      </c>
      <c r="H172" t="s">
        <v>38</v>
      </c>
      <c r="I172" s="1" t="s">
        <v>30</v>
      </c>
      <c r="J172" s="1">
        <v>0.75</v>
      </c>
      <c r="K172" s="7">
        <v>1637.5</v>
      </c>
      <c r="L172">
        <v>48</v>
      </c>
      <c r="M172" s="7">
        <f>Tabell1[[#This Row],[Salgspris]]*Tabell1[[#This Row],[Totalt antall]]</f>
        <v>78600</v>
      </c>
      <c r="N172">
        <v>18</v>
      </c>
      <c r="O172">
        <v>6</v>
      </c>
      <c r="Q172">
        <v>6</v>
      </c>
      <c r="U172">
        <v>12</v>
      </c>
      <c r="V172">
        <v>6</v>
      </c>
      <c r="X172"/>
      <c r="Y172" s="3" t="s">
        <v>88</v>
      </c>
    </row>
    <row r="173" spans="1:25" ht="32.1" customHeight="1" x14ac:dyDescent="0.25">
      <c r="A173" s="1">
        <v>12770801</v>
      </c>
      <c r="B173" t="s">
        <v>204</v>
      </c>
      <c r="C173" t="s">
        <v>206</v>
      </c>
      <c r="D173" s="1">
        <v>2018</v>
      </c>
      <c r="E173" t="s">
        <v>26</v>
      </c>
      <c r="F173" t="s">
        <v>27</v>
      </c>
      <c r="G173" t="s">
        <v>35</v>
      </c>
      <c r="H173" t="s">
        <v>38</v>
      </c>
      <c r="I173" s="1" t="s">
        <v>30</v>
      </c>
      <c r="J173" s="1">
        <v>0.75</v>
      </c>
      <c r="K173" s="7">
        <v>1437.2</v>
      </c>
      <c r="L173">
        <v>36</v>
      </c>
      <c r="M173" s="7">
        <f>Tabell1[[#This Row],[Salgspris]]*Tabell1[[#This Row],[Totalt antall]]</f>
        <v>51739.200000000004</v>
      </c>
      <c r="N173">
        <v>18</v>
      </c>
      <c r="O173">
        <v>6</v>
      </c>
      <c r="Q173">
        <v>6</v>
      </c>
      <c r="R173">
        <v>6</v>
      </c>
      <c r="X173"/>
      <c r="Y173" s="3" t="s">
        <v>88</v>
      </c>
    </row>
    <row r="174" spans="1:25" ht="32.1" customHeight="1" x14ac:dyDescent="0.25">
      <c r="A174" s="1">
        <v>12770601</v>
      </c>
      <c r="B174" t="s">
        <v>204</v>
      </c>
      <c r="C174" t="s">
        <v>35</v>
      </c>
      <c r="D174" s="1">
        <v>2018</v>
      </c>
      <c r="E174" t="s">
        <v>26</v>
      </c>
      <c r="F174" t="s">
        <v>27</v>
      </c>
      <c r="G174" t="s">
        <v>35</v>
      </c>
      <c r="I174" s="1" t="s">
        <v>30</v>
      </c>
      <c r="J174" s="1">
        <v>0.75</v>
      </c>
      <c r="K174" s="7">
        <v>720.2</v>
      </c>
      <c r="L174">
        <v>48</v>
      </c>
      <c r="M174" s="7">
        <f>Tabell1[[#This Row],[Salgspris]]*Tabell1[[#This Row],[Totalt antall]]</f>
        <v>34569.600000000006</v>
      </c>
      <c r="N174">
        <v>18</v>
      </c>
      <c r="P174">
        <v>6</v>
      </c>
      <c r="S174">
        <v>6</v>
      </c>
      <c r="T174">
        <v>6</v>
      </c>
      <c r="U174">
        <v>12</v>
      </c>
      <c r="X174"/>
      <c r="Y174" s="3" t="s">
        <v>88</v>
      </c>
    </row>
    <row r="175" spans="1:25" ht="32.1" customHeight="1" x14ac:dyDescent="0.25">
      <c r="A175" s="1">
        <v>12771301</v>
      </c>
      <c r="B175" t="s">
        <v>204</v>
      </c>
      <c r="C175" t="s">
        <v>36</v>
      </c>
      <c r="D175" s="1">
        <v>2018</v>
      </c>
      <c r="E175" t="s">
        <v>26</v>
      </c>
      <c r="F175" t="s">
        <v>27</v>
      </c>
      <c r="G175" t="s">
        <v>37</v>
      </c>
      <c r="H175" t="s">
        <v>38</v>
      </c>
      <c r="I175" s="1" t="s">
        <v>30</v>
      </c>
      <c r="J175" s="1">
        <v>0.75</v>
      </c>
      <c r="K175" s="7">
        <v>1437.4</v>
      </c>
      <c r="L175">
        <v>48</v>
      </c>
      <c r="M175" s="7">
        <f>Tabell1[[#This Row],[Salgspris]]*Tabell1[[#This Row],[Totalt antall]]</f>
        <v>68995.200000000012</v>
      </c>
      <c r="N175">
        <v>18</v>
      </c>
      <c r="O175">
        <v>6</v>
      </c>
      <c r="Q175">
        <v>6</v>
      </c>
      <c r="U175">
        <v>12</v>
      </c>
      <c r="V175">
        <v>6</v>
      </c>
      <c r="X175"/>
      <c r="Y175" s="3" t="s">
        <v>88</v>
      </c>
    </row>
    <row r="176" spans="1:25" ht="32.1" customHeight="1" x14ac:dyDescent="0.25">
      <c r="A176" s="1">
        <v>12770701</v>
      </c>
      <c r="B176" t="s">
        <v>204</v>
      </c>
      <c r="C176" t="s">
        <v>207</v>
      </c>
      <c r="D176" s="1">
        <v>2018</v>
      </c>
      <c r="E176" t="s">
        <v>26</v>
      </c>
      <c r="F176" t="s">
        <v>27</v>
      </c>
      <c r="G176" t="s">
        <v>77</v>
      </c>
      <c r="H176" t="s">
        <v>38</v>
      </c>
      <c r="I176" s="1" t="s">
        <v>30</v>
      </c>
      <c r="J176" s="1">
        <v>0.75</v>
      </c>
      <c r="K176" s="7">
        <v>1437.2</v>
      </c>
      <c r="L176">
        <v>48</v>
      </c>
      <c r="M176" s="7">
        <f>Tabell1[[#This Row],[Salgspris]]*Tabell1[[#This Row],[Totalt antall]]</f>
        <v>68985.600000000006</v>
      </c>
      <c r="N176">
        <v>18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9</v>
      </c>
      <c r="V176">
        <v>3</v>
      </c>
      <c r="X176"/>
      <c r="Y176" s="3" t="s">
        <v>88</v>
      </c>
    </row>
    <row r="177" spans="1:25" ht="32.1" customHeight="1" x14ac:dyDescent="0.25">
      <c r="A177" s="1">
        <v>12747001</v>
      </c>
      <c r="B177" t="s">
        <v>208</v>
      </c>
      <c r="C177" t="s">
        <v>119</v>
      </c>
      <c r="D177" s="1">
        <v>2018</v>
      </c>
      <c r="E177" t="s">
        <v>26</v>
      </c>
      <c r="F177" t="s">
        <v>27</v>
      </c>
      <c r="G177" t="s">
        <v>120</v>
      </c>
      <c r="H177" t="s">
        <v>38</v>
      </c>
      <c r="I177" s="1" t="s">
        <v>45</v>
      </c>
      <c r="J177" s="1">
        <v>0.75</v>
      </c>
      <c r="K177" s="7">
        <v>1575</v>
      </c>
      <c r="L177">
        <v>12</v>
      </c>
      <c r="M177" s="7">
        <f>Tabell1[[#This Row],[Salgspris]]*Tabell1[[#This Row],[Totalt antall]]</f>
        <v>18900</v>
      </c>
      <c r="N177">
        <v>6</v>
      </c>
      <c r="O177">
        <v>2</v>
      </c>
      <c r="Q177">
        <v>2</v>
      </c>
      <c r="U177">
        <v>2</v>
      </c>
      <c r="X177"/>
      <c r="Y177" s="3"/>
    </row>
    <row r="178" spans="1:25" ht="32.1" customHeight="1" x14ac:dyDescent="0.25">
      <c r="A178" s="1">
        <v>12746901</v>
      </c>
      <c r="B178" t="s">
        <v>208</v>
      </c>
      <c r="C178" t="s">
        <v>209</v>
      </c>
      <c r="D178" s="1">
        <v>2018</v>
      </c>
      <c r="E178" t="s">
        <v>26</v>
      </c>
      <c r="F178" t="s">
        <v>27</v>
      </c>
      <c r="G178" t="s">
        <v>123</v>
      </c>
      <c r="H178" t="s">
        <v>29</v>
      </c>
      <c r="I178" s="1" t="s">
        <v>45</v>
      </c>
      <c r="J178" s="1">
        <v>0.75</v>
      </c>
      <c r="K178" s="7">
        <v>1250</v>
      </c>
      <c r="L178">
        <v>12</v>
      </c>
      <c r="M178" s="7">
        <f>Tabell1[[#This Row],[Salgspris]]*Tabell1[[#This Row],[Totalt antall]]</f>
        <v>15000</v>
      </c>
      <c r="N178">
        <v>6</v>
      </c>
      <c r="O178">
        <v>2</v>
      </c>
      <c r="Q178">
        <v>2</v>
      </c>
      <c r="U178">
        <v>2</v>
      </c>
      <c r="X178"/>
      <c r="Y178" s="3"/>
    </row>
    <row r="179" spans="1:25" ht="32.1" customHeight="1" x14ac:dyDescent="0.25">
      <c r="A179" s="1">
        <v>12746801</v>
      </c>
      <c r="B179" t="s">
        <v>208</v>
      </c>
      <c r="C179" t="s">
        <v>96</v>
      </c>
      <c r="D179" s="1">
        <v>2018</v>
      </c>
      <c r="E179" t="s">
        <v>26</v>
      </c>
      <c r="F179" t="s">
        <v>27</v>
      </c>
      <c r="G179" t="s">
        <v>57</v>
      </c>
      <c r="H179" t="s">
        <v>29</v>
      </c>
      <c r="I179" s="1" t="s">
        <v>45</v>
      </c>
      <c r="J179" s="1">
        <v>0.75</v>
      </c>
      <c r="K179" s="7">
        <v>1200</v>
      </c>
      <c r="L179">
        <v>12</v>
      </c>
      <c r="M179" s="7">
        <f>Tabell1[[#This Row],[Salgspris]]*Tabell1[[#This Row],[Totalt antall]]</f>
        <v>14400</v>
      </c>
      <c r="N179">
        <v>6</v>
      </c>
      <c r="O179">
        <v>2</v>
      </c>
      <c r="Q179">
        <v>2</v>
      </c>
      <c r="U179">
        <v>2</v>
      </c>
      <c r="X179"/>
      <c r="Y179" s="3"/>
    </row>
    <row r="180" spans="1:25" ht="32.1" customHeight="1" x14ac:dyDescent="0.25">
      <c r="A180" s="1">
        <v>12746301</v>
      </c>
      <c r="B180" t="s">
        <v>208</v>
      </c>
      <c r="C180" t="s">
        <v>210</v>
      </c>
      <c r="D180" s="1">
        <v>2018</v>
      </c>
      <c r="E180" t="s">
        <v>26</v>
      </c>
      <c r="F180" t="s">
        <v>27</v>
      </c>
      <c r="G180" t="s">
        <v>120</v>
      </c>
      <c r="H180" t="s">
        <v>38</v>
      </c>
      <c r="I180" s="1" t="s">
        <v>30</v>
      </c>
      <c r="J180" s="1">
        <v>0.75</v>
      </c>
      <c r="K180" s="7">
        <v>1590</v>
      </c>
      <c r="L180">
        <v>36</v>
      </c>
      <c r="M180" s="7">
        <f>Tabell1[[#This Row],[Salgspris]]*Tabell1[[#This Row],[Totalt antall]]</f>
        <v>57240</v>
      </c>
      <c r="N180">
        <v>18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X180"/>
      <c r="Y180" s="3"/>
    </row>
    <row r="181" spans="1:25" ht="32.1" customHeight="1" x14ac:dyDescent="0.25">
      <c r="A181" s="1">
        <v>12745801</v>
      </c>
      <c r="B181" t="s">
        <v>208</v>
      </c>
      <c r="C181" t="s">
        <v>209</v>
      </c>
      <c r="D181" s="1">
        <v>2018</v>
      </c>
      <c r="E181" t="s">
        <v>26</v>
      </c>
      <c r="F181" t="s">
        <v>27</v>
      </c>
      <c r="G181" t="s">
        <v>123</v>
      </c>
      <c r="H181" t="s">
        <v>29</v>
      </c>
      <c r="I181" s="1" t="s">
        <v>30</v>
      </c>
      <c r="J181" s="1">
        <v>0.75</v>
      </c>
      <c r="K181" s="7">
        <v>1035</v>
      </c>
      <c r="L181">
        <v>96</v>
      </c>
      <c r="M181" s="7">
        <f>Tabell1[[#This Row],[Salgspris]]*Tabell1[[#This Row],[Totalt antall]]</f>
        <v>99360</v>
      </c>
      <c r="N181">
        <v>30</v>
      </c>
      <c r="O181">
        <v>6</v>
      </c>
      <c r="P181">
        <v>6</v>
      </c>
      <c r="Q181">
        <v>6</v>
      </c>
      <c r="R181">
        <v>6</v>
      </c>
      <c r="S181">
        <v>6</v>
      </c>
      <c r="T181">
        <v>6</v>
      </c>
      <c r="U181">
        <v>12</v>
      </c>
      <c r="V181">
        <v>6</v>
      </c>
      <c r="W181">
        <v>6</v>
      </c>
      <c r="X181">
        <v>6</v>
      </c>
      <c r="Y181" s="3"/>
    </row>
    <row r="182" spans="1:25" ht="32.1" customHeight="1" x14ac:dyDescent="0.25">
      <c r="A182" s="1">
        <v>12746501</v>
      </c>
      <c r="B182" t="s">
        <v>208</v>
      </c>
      <c r="C182" t="s">
        <v>80</v>
      </c>
      <c r="D182" s="1">
        <v>2018</v>
      </c>
      <c r="E182" t="s">
        <v>26</v>
      </c>
      <c r="F182" t="s">
        <v>27</v>
      </c>
      <c r="G182" t="s">
        <v>67</v>
      </c>
      <c r="H182" t="s">
        <v>29</v>
      </c>
      <c r="I182" s="1" t="s">
        <v>30</v>
      </c>
      <c r="J182" s="1">
        <v>0.75</v>
      </c>
      <c r="K182" s="7">
        <v>4100</v>
      </c>
      <c r="L182">
        <v>24</v>
      </c>
      <c r="M182" s="7">
        <f>Tabell1[[#This Row],[Salgspris]]*Tabell1[[#This Row],[Totalt antall]]</f>
        <v>98400</v>
      </c>
      <c r="N182">
        <v>12</v>
      </c>
      <c r="O182">
        <v>2</v>
      </c>
      <c r="P182">
        <v>1</v>
      </c>
      <c r="Q182">
        <v>2</v>
      </c>
      <c r="R182">
        <v>1</v>
      </c>
      <c r="S182">
        <v>1</v>
      </c>
      <c r="T182">
        <v>1</v>
      </c>
      <c r="U182">
        <v>3</v>
      </c>
      <c r="V182">
        <v>1</v>
      </c>
      <c r="X182"/>
      <c r="Y182" s="3" t="s">
        <v>31</v>
      </c>
    </row>
    <row r="183" spans="1:25" ht="32.1" customHeight="1" x14ac:dyDescent="0.25">
      <c r="A183" s="1">
        <v>12746001</v>
      </c>
      <c r="B183" t="s">
        <v>208</v>
      </c>
      <c r="C183" t="s">
        <v>82</v>
      </c>
      <c r="D183" s="1">
        <v>2018</v>
      </c>
      <c r="E183" t="s">
        <v>26</v>
      </c>
      <c r="F183" t="s">
        <v>27</v>
      </c>
      <c r="G183" t="s">
        <v>67</v>
      </c>
      <c r="H183" t="s">
        <v>29</v>
      </c>
      <c r="I183" s="1" t="s">
        <v>30</v>
      </c>
      <c r="J183" s="1">
        <v>0.75</v>
      </c>
      <c r="K183" s="7">
        <v>1020</v>
      </c>
      <c r="L183">
        <v>60</v>
      </c>
      <c r="M183" s="7">
        <f>Tabell1[[#This Row],[Salgspris]]*Tabell1[[#This Row],[Totalt antall]]</f>
        <v>61200</v>
      </c>
      <c r="N183">
        <v>18</v>
      </c>
      <c r="O183">
        <v>6</v>
      </c>
      <c r="P183">
        <v>6</v>
      </c>
      <c r="Q183">
        <v>6</v>
      </c>
      <c r="R183">
        <v>6</v>
      </c>
      <c r="S183">
        <v>6</v>
      </c>
      <c r="T183">
        <v>6</v>
      </c>
      <c r="U183">
        <v>6</v>
      </c>
      <c r="X183"/>
      <c r="Y183" s="3"/>
    </row>
    <row r="184" spans="1:25" ht="32.1" customHeight="1" x14ac:dyDescent="0.25">
      <c r="A184" s="1">
        <v>12746701</v>
      </c>
      <c r="B184" t="s">
        <v>208</v>
      </c>
      <c r="C184" t="s">
        <v>211</v>
      </c>
      <c r="D184" s="1">
        <v>2018</v>
      </c>
      <c r="E184" t="s">
        <v>26</v>
      </c>
      <c r="F184" t="s">
        <v>27</v>
      </c>
      <c r="G184" t="s">
        <v>67</v>
      </c>
      <c r="H184" t="s">
        <v>38</v>
      </c>
      <c r="I184" s="1" t="s">
        <v>30</v>
      </c>
      <c r="J184" s="1">
        <v>0.75</v>
      </c>
      <c r="K184" s="7">
        <v>6090</v>
      </c>
      <c r="L184">
        <v>6</v>
      </c>
      <c r="M184" s="7">
        <f>Tabell1[[#This Row],[Salgspris]]*Tabell1[[#This Row],[Totalt antall]]</f>
        <v>36540</v>
      </c>
      <c r="N184">
        <v>3</v>
      </c>
      <c r="O184">
        <v>1</v>
      </c>
      <c r="Q184">
        <v>1</v>
      </c>
      <c r="U184">
        <v>1</v>
      </c>
      <c r="X184"/>
      <c r="Y184" s="3" t="s">
        <v>31</v>
      </c>
    </row>
    <row r="185" spans="1:25" ht="32.1" customHeight="1" x14ac:dyDescent="0.25">
      <c r="A185" s="1">
        <v>12746401</v>
      </c>
      <c r="B185" t="s">
        <v>208</v>
      </c>
      <c r="C185" t="s">
        <v>62</v>
      </c>
      <c r="D185" s="1">
        <v>2018</v>
      </c>
      <c r="E185" t="s">
        <v>26</v>
      </c>
      <c r="F185" t="s">
        <v>27</v>
      </c>
      <c r="G185" t="s">
        <v>63</v>
      </c>
      <c r="H185" t="s">
        <v>38</v>
      </c>
      <c r="I185" s="1" t="s">
        <v>30</v>
      </c>
      <c r="J185" s="1">
        <v>0.75</v>
      </c>
      <c r="K185" s="7">
        <v>3980</v>
      </c>
      <c r="L185">
        <v>12</v>
      </c>
      <c r="M185" s="7">
        <f>Tabell1[[#This Row],[Salgspris]]*Tabell1[[#This Row],[Totalt antall]]</f>
        <v>47760</v>
      </c>
      <c r="N185">
        <v>6</v>
      </c>
      <c r="O185">
        <v>2</v>
      </c>
      <c r="Q185">
        <v>2</v>
      </c>
      <c r="U185">
        <v>2</v>
      </c>
      <c r="X185"/>
      <c r="Y185" s="3"/>
    </row>
    <row r="186" spans="1:25" ht="32.1" customHeight="1" x14ac:dyDescent="0.25">
      <c r="A186" s="1">
        <v>12746601</v>
      </c>
      <c r="B186" t="s">
        <v>208</v>
      </c>
      <c r="C186" t="s">
        <v>64</v>
      </c>
      <c r="D186" s="1">
        <v>2018</v>
      </c>
      <c r="E186" t="s">
        <v>26</v>
      </c>
      <c r="F186" t="s">
        <v>27</v>
      </c>
      <c r="G186" t="s">
        <v>35</v>
      </c>
      <c r="H186" t="s">
        <v>38</v>
      </c>
      <c r="I186" s="1" t="s">
        <v>30</v>
      </c>
      <c r="J186" s="1">
        <v>0.75</v>
      </c>
      <c r="K186" s="7">
        <v>4250</v>
      </c>
      <c r="L186">
        <v>12</v>
      </c>
      <c r="M186" s="7">
        <f>Tabell1[[#This Row],[Salgspris]]*Tabell1[[#This Row],[Totalt antall]]</f>
        <v>51000</v>
      </c>
      <c r="N186">
        <v>6</v>
      </c>
      <c r="O186">
        <v>2</v>
      </c>
      <c r="Q186">
        <v>2</v>
      </c>
      <c r="U186">
        <v>2</v>
      </c>
      <c r="X186"/>
      <c r="Y186" s="3"/>
    </row>
    <row r="187" spans="1:25" ht="32.1" customHeight="1" x14ac:dyDescent="0.25">
      <c r="A187" s="1">
        <v>12746201</v>
      </c>
      <c r="B187" t="s">
        <v>208</v>
      </c>
      <c r="C187" t="s">
        <v>212</v>
      </c>
      <c r="D187" s="1">
        <v>2018</v>
      </c>
      <c r="E187" t="s">
        <v>26</v>
      </c>
      <c r="F187" t="s">
        <v>27</v>
      </c>
      <c r="G187" t="s">
        <v>126</v>
      </c>
      <c r="H187" t="s">
        <v>29</v>
      </c>
      <c r="I187" s="1" t="s">
        <v>30</v>
      </c>
      <c r="J187" s="1">
        <v>0.75</v>
      </c>
      <c r="K187" s="7">
        <v>890</v>
      </c>
      <c r="L187">
        <v>24</v>
      </c>
      <c r="M187" s="7">
        <f>Tabell1[[#This Row],[Salgspris]]*Tabell1[[#This Row],[Totalt antall]]</f>
        <v>21360</v>
      </c>
      <c r="N187">
        <v>12</v>
      </c>
      <c r="O187">
        <v>3</v>
      </c>
      <c r="Q187">
        <v>3</v>
      </c>
      <c r="U187">
        <v>3</v>
      </c>
      <c r="V187">
        <v>3</v>
      </c>
      <c r="X187"/>
      <c r="Y187" s="3"/>
    </row>
    <row r="188" spans="1:25" ht="32.1" customHeight="1" x14ac:dyDescent="0.25">
      <c r="A188" s="1">
        <v>12746101</v>
      </c>
      <c r="B188" t="s">
        <v>208</v>
      </c>
      <c r="C188" t="s">
        <v>73</v>
      </c>
      <c r="D188" s="1">
        <v>2018</v>
      </c>
      <c r="E188" t="s">
        <v>26</v>
      </c>
      <c r="F188" t="s">
        <v>27</v>
      </c>
      <c r="G188" t="s">
        <v>74</v>
      </c>
      <c r="H188" t="s">
        <v>29</v>
      </c>
      <c r="I188" s="1" t="s">
        <v>30</v>
      </c>
      <c r="J188" s="1">
        <v>0.75</v>
      </c>
      <c r="K188" s="7">
        <v>2440</v>
      </c>
      <c r="L188">
        <v>24</v>
      </c>
      <c r="M188" s="7">
        <f>Tabell1[[#This Row],[Salgspris]]*Tabell1[[#This Row],[Totalt antall]]</f>
        <v>58560</v>
      </c>
      <c r="N188">
        <v>12</v>
      </c>
      <c r="O188">
        <v>3</v>
      </c>
      <c r="Q188">
        <v>3</v>
      </c>
      <c r="U188">
        <v>3</v>
      </c>
      <c r="V188">
        <v>3</v>
      </c>
      <c r="X188"/>
      <c r="Y188" s="3"/>
    </row>
    <row r="189" spans="1:25" ht="32.1" customHeight="1" x14ac:dyDescent="0.25">
      <c r="A189" s="1">
        <v>12745901</v>
      </c>
      <c r="B189" t="s">
        <v>213</v>
      </c>
      <c r="C189" t="s">
        <v>92</v>
      </c>
      <c r="D189" s="1">
        <v>2018</v>
      </c>
      <c r="E189" t="s">
        <v>26</v>
      </c>
      <c r="F189" t="s">
        <v>27</v>
      </c>
      <c r="G189" t="s">
        <v>91</v>
      </c>
      <c r="H189" t="s">
        <v>38</v>
      </c>
      <c r="I189" s="1" t="s">
        <v>45</v>
      </c>
      <c r="J189" s="1">
        <v>0.75</v>
      </c>
      <c r="K189" s="7">
        <v>5150</v>
      </c>
      <c r="L189">
        <v>12</v>
      </c>
      <c r="M189" s="7">
        <f>Tabell1[[#This Row],[Salgspris]]*Tabell1[[#This Row],[Totalt antall]]</f>
        <v>61800</v>
      </c>
      <c r="N189">
        <v>6</v>
      </c>
      <c r="O189">
        <v>1</v>
      </c>
      <c r="Q189">
        <v>1</v>
      </c>
      <c r="U189">
        <v>3</v>
      </c>
      <c r="V189">
        <v>1</v>
      </c>
      <c r="X189"/>
      <c r="Y189" s="3" t="s">
        <v>31</v>
      </c>
    </row>
    <row r="190" spans="1:25" ht="32.1" customHeight="1" x14ac:dyDescent="0.25">
      <c r="A190" s="1">
        <v>12695701</v>
      </c>
      <c r="B190" t="s">
        <v>214</v>
      </c>
      <c r="C190" t="s">
        <v>215</v>
      </c>
      <c r="D190" s="1">
        <v>2018</v>
      </c>
      <c r="E190" t="s">
        <v>26</v>
      </c>
      <c r="F190" t="s">
        <v>27</v>
      </c>
      <c r="G190" t="s">
        <v>99</v>
      </c>
      <c r="H190" t="s">
        <v>29</v>
      </c>
      <c r="I190" s="1" t="s">
        <v>45</v>
      </c>
      <c r="J190" s="1">
        <v>0.75</v>
      </c>
      <c r="K190" s="7">
        <v>999.9</v>
      </c>
      <c r="L190">
        <v>30</v>
      </c>
      <c r="M190" s="7">
        <f>Tabell1[[#This Row],[Salgspris]]*Tabell1[[#This Row],[Totalt antall]]</f>
        <v>29997</v>
      </c>
      <c r="N190">
        <v>12</v>
      </c>
      <c r="O190">
        <v>3</v>
      </c>
      <c r="Q190">
        <v>3</v>
      </c>
      <c r="R190">
        <v>3</v>
      </c>
      <c r="T190">
        <v>3</v>
      </c>
      <c r="U190">
        <v>6</v>
      </c>
      <c r="X190"/>
      <c r="Y190" s="3" t="s">
        <v>31</v>
      </c>
    </row>
    <row r="191" spans="1:25" ht="32.1" customHeight="1" x14ac:dyDescent="0.25">
      <c r="A191" s="1">
        <v>12695801</v>
      </c>
      <c r="B191" t="s">
        <v>214</v>
      </c>
      <c r="C191" t="s">
        <v>37</v>
      </c>
      <c r="D191" s="1">
        <v>2018</v>
      </c>
      <c r="E191" t="s">
        <v>26</v>
      </c>
      <c r="F191" t="s">
        <v>27</v>
      </c>
      <c r="G191" t="s">
        <v>37</v>
      </c>
      <c r="I191" s="1" t="s">
        <v>30</v>
      </c>
      <c r="J191" s="1">
        <v>0.75</v>
      </c>
      <c r="K191" s="7">
        <v>599.9</v>
      </c>
      <c r="L191">
        <v>60</v>
      </c>
      <c r="M191" s="7">
        <f>Tabell1[[#This Row],[Salgspris]]*Tabell1[[#This Row],[Totalt antall]]</f>
        <v>35994</v>
      </c>
      <c r="N191">
        <v>18</v>
      </c>
      <c r="O191">
        <v>3</v>
      </c>
      <c r="P191">
        <v>3</v>
      </c>
      <c r="Q191">
        <v>3</v>
      </c>
      <c r="R191">
        <v>3</v>
      </c>
      <c r="S191">
        <v>3</v>
      </c>
      <c r="T191">
        <v>3</v>
      </c>
      <c r="U191">
        <v>15</v>
      </c>
      <c r="V191">
        <v>3</v>
      </c>
      <c r="W191">
        <v>3</v>
      </c>
      <c r="X191">
        <v>3</v>
      </c>
      <c r="Y191" s="3" t="s">
        <v>31</v>
      </c>
    </row>
    <row r="192" spans="1:25" ht="32.1" customHeight="1" x14ac:dyDescent="0.25">
      <c r="A192" s="1">
        <v>12695601</v>
      </c>
      <c r="B192" t="s">
        <v>214</v>
      </c>
      <c r="C192" t="s">
        <v>216</v>
      </c>
      <c r="D192" s="1">
        <v>2018</v>
      </c>
      <c r="E192" t="s">
        <v>26</v>
      </c>
      <c r="F192" t="s">
        <v>27</v>
      </c>
      <c r="G192" t="s">
        <v>74</v>
      </c>
      <c r="H192" t="s">
        <v>29</v>
      </c>
      <c r="I192" s="1" t="s">
        <v>30</v>
      </c>
      <c r="J192" s="1">
        <v>0.75</v>
      </c>
      <c r="K192" s="7">
        <v>2260.4</v>
      </c>
      <c r="L192">
        <v>18</v>
      </c>
      <c r="M192" s="7">
        <f>Tabell1[[#This Row],[Salgspris]]*Tabell1[[#This Row],[Totalt antall]]</f>
        <v>40687.200000000004</v>
      </c>
      <c r="N192">
        <v>9</v>
      </c>
      <c r="O192">
        <v>2</v>
      </c>
      <c r="P192">
        <v>1</v>
      </c>
      <c r="Q192">
        <v>2</v>
      </c>
      <c r="S192">
        <v>1</v>
      </c>
      <c r="T192">
        <v>1</v>
      </c>
      <c r="U192">
        <v>1</v>
      </c>
      <c r="V192">
        <v>1</v>
      </c>
      <c r="X192"/>
      <c r="Y192" s="3" t="s">
        <v>31</v>
      </c>
    </row>
    <row r="193" spans="1:25" ht="32.1" customHeight="1" x14ac:dyDescent="0.25">
      <c r="A193" s="1">
        <v>12771201</v>
      </c>
      <c r="B193" t="s">
        <v>217</v>
      </c>
      <c r="C193" t="s">
        <v>218</v>
      </c>
      <c r="D193" s="1">
        <v>2018</v>
      </c>
      <c r="E193" t="s">
        <v>26</v>
      </c>
      <c r="F193" t="s">
        <v>27</v>
      </c>
      <c r="G193" t="s">
        <v>35</v>
      </c>
      <c r="I193" s="1" t="s">
        <v>30</v>
      </c>
      <c r="J193" s="1">
        <v>0.75</v>
      </c>
      <c r="K193" s="7">
        <v>943.5</v>
      </c>
      <c r="L193">
        <v>12</v>
      </c>
      <c r="M193" s="7">
        <f>Tabell1[[#This Row],[Salgspris]]*Tabell1[[#This Row],[Totalt antall]]</f>
        <v>11322</v>
      </c>
      <c r="N193">
        <v>6</v>
      </c>
      <c r="P193">
        <v>2</v>
      </c>
      <c r="S193">
        <v>2</v>
      </c>
      <c r="T193">
        <v>2</v>
      </c>
      <c r="X193"/>
      <c r="Y193" s="3"/>
    </row>
    <row r="194" spans="1:25" ht="32.1" customHeight="1" x14ac:dyDescent="0.25">
      <c r="A194" s="1">
        <v>12771101</v>
      </c>
      <c r="B194" t="s">
        <v>217</v>
      </c>
      <c r="C194" t="s">
        <v>219</v>
      </c>
      <c r="D194" s="1">
        <v>2018</v>
      </c>
      <c r="E194" t="s">
        <v>26</v>
      </c>
      <c r="F194" t="s">
        <v>27</v>
      </c>
      <c r="G194" t="s">
        <v>35</v>
      </c>
      <c r="I194" s="1" t="s">
        <v>30</v>
      </c>
      <c r="J194" s="1">
        <v>0.75</v>
      </c>
      <c r="K194" s="7">
        <v>679.6</v>
      </c>
      <c r="L194">
        <v>60</v>
      </c>
      <c r="M194" s="7">
        <f>Tabell1[[#This Row],[Salgspris]]*Tabell1[[#This Row],[Totalt antall]]</f>
        <v>40776</v>
      </c>
      <c r="N194">
        <v>18</v>
      </c>
      <c r="O194">
        <v>6</v>
      </c>
      <c r="P194">
        <v>3</v>
      </c>
      <c r="Q194">
        <v>6</v>
      </c>
      <c r="R194">
        <v>3</v>
      </c>
      <c r="S194">
        <v>3</v>
      </c>
      <c r="T194">
        <v>3</v>
      </c>
      <c r="U194">
        <v>12</v>
      </c>
      <c r="V194">
        <v>6</v>
      </c>
      <c r="X194"/>
      <c r="Y194" s="3"/>
    </row>
    <row r="195" spans="1:25" ht="32.1" customHeight="1" x14ac:dyDescent="0.25">
      <c r="A195" s="1">
        <v>12771701</v>
      </c>
      <c r="B195" t="s">
        <v>217</v>
      </c>
      <c r="C195" t="s">
        <v>220</v>
      </c>
      <c r="D195" s="1">
        <v>2018</v>
      </c>
      <c r="E195" t="s">
        <v>26</v>
      </c>
      <c r="F195" t="s">
        <v>27</v>
      </c>
      <c r="G195" t="s">
        <v>35</v>
      </c>
      <c r="H195" t="s">
        <v>38</v>
      </c>
      <c r="I195" s="1" t="s">
        <v>30</v>
      </c>
      <c r="J195" s="1">
        <v>0.75</v>
      </c>
      <c r="K195" s="7">
        <v>3402.4</v>
      </c>
      <c r="L195">
        <v>18</v>
      </c>
      <c r="M195" s="7">
        <f>Tabell1[[#This Row],[Salgspris]]*Tabell1[[#This Row],[Totalt antall]]</f>
        <v>61243.200000000004</v>
      </c>
      <c r="N195">
        <v>9</v>
      </c>
      <c r="O195">
        <v>3</v>
      </c>
      <c r="Q195">
        <v>3</v>
      </c>
      <c r="U195">
        <v>3</v>
      </c>
      <c r="X195"/>
      <c r="Y195" s="3"/>
    </row>
    <row r="196" spans="1:25" ht="32.1" customHeight="1" x14ac:dyDescent="0.25">
      <c r="A196" s="1">
        <v>12725201</v>
      </c>
      <c r="B196" t="s">
        <v>221</v>
      </c>
      <c r="C196" t="s">
        <v>81</v>
      </c>
      <c r="D196" s="1">
        <v>2018</v>
      </c>
      <c r="E196" t="s">
        <v>26</v>
      </c>
      <c r="F196" t="s">
        <v>27</v>
      </c>
      <c r="G196" t="s">
        <v>67</v>
      </c>
      <c r="H196" t="s">
        <v>29</v>
      </c>
      <c r="I196" s="1" t="s">
        <v>30</v>
      </c>
      <c r="J196" s="1">
        <v>0.75</v>
      </c>
      <c r="K196" s="7">
        <v>981.4</v>
      </c>
      <c r="L196">
        <v>120</v>
      </c>
      <c r="M196" s="7">
        <f>Tabell1[[#This Row],[Salgspris]]*Tabell1[[#This Row],[Totalt antall]]</f>
        <v>117768</v>
      </c>
      <c r="N196">
        <v>30</v>
      </c>
      <c r="O196">
        <v>12</v>
      </c>
      <c r="P196">
        <v>12</v>
      </c>
      <c r="Q196">
        <v>12</v>
      </c>
      <c r="S196">
        <v>12</v>
      </c>
      <c r="T196">
        <v>12</v>
      </c>
      <c r="U196">
        <v>18</v>
      </c>
      <c r="V196">
        <v>12</v>
      </c>
      <c r="X196"/>
      <c r="Y196" s="3"/>
    </row>
    <row r="197" spans="1:25" ht="32.1" customHeight="1" x14ac:dyDescent="0.25">
      <c r="A197" s="1">
        <v>12724801</v>
      </c>
      <c r="B197" t="s">
        <v>221</v>
      </c>
      <c r="C197" t="s">
        <v>222</v>
      </c>
      <c r="D197" s="1">
        <v>2018</v>
      </c>
      <c r="E197" t="s">
        <v>26</v>
      </c>
      <c r="F197" t="s">
        <v>27</v>
      </c>
      <c r="G197" t="s">
        <v>67</v>
      </c>
      <c r="H197" t="s">
        <v>29</v>
      </c>
      <c r="I197" s="1" t="s">
        <v>30</v>
      </c>
      <c r="J197" s="1">
        <v>0.75</v>
      </c>
      <c r="K197" s="7">
        <v>1231.4000000000001</v>
      </c>
      <c r="L197">
        <v>36</v>
      </c>
      <c r="M197" s="7">
        <f>Tabell1[[#This Row],[Salgspris]]*Tabell1[[#This Row],[Totalt antall]]</f>
        <v>44330.400000000001</v>
      </c>
      <c r="N197">
        <v>12</v>
      </c>
      <c r="O197">
        <v>6</v>
      </c>
      <c r="Q197">
        <v>6</v>
      </c>
      <c r="U197">
        <v>6</v>
      </c>
      <c r="V197">
        <v>6</v>
      </c>
      <c r="X197"/>
      <c r="Y197" s="3"/>
    </row>
    <row r="198" spans="1:25" ht="32.1" customHeight="1" x14ac:dyDescent="0.25">
      <c r="A198" s="1">
        <v>12725001</v>
      </c>
      <c r="B198" t="s">
        <v>221</v>
      </c>
      <c r="C198" t="s">
        <v>223</v>
      </c>
      <c r="D198" s="1">
        <v>2018</v>
      </c>
      <c r="E198" t="s">
        <v>26</v>
      </c>
      <c r="F198" t="s">
        <v>27</v>
      </c>
      <c r="G198" t="s">
        <v>67</v>
      </c>
      <c r="H198" t="s">
        <v>29</v>
      </c>
      <c r="I198" s="1" t="s">
        <v>30</v>
      </c>
      <c r="J198" s="1">
        <v>0.75</v>
      </c>
      <c r="K198" s="7">
        <v>1281.4000000000001</v>
      </c>
      <c r="L198">
        <v>54</v>
      </c>
      <c r="M198" s="7">
        <f>Tabell1[[#This Row],[Salgspris]]*Tabell1[[#This Row],[Totalt antall]]</f>
        <v>69195.600000000006</v>
      </c>
      <c r="N198">
        <v>24</v>
      </c>
      <c r="O198">
        <v>6</v>
      </c>
      <c r="P198">
        <v>3</v>
      </c>
      <c r="Q198">
        <v>6</v>
      </c>
      <c r="R198">
        <v>3</v>
      </c>
      <c r="S198">
        <v>3</v>
      </c>
      <c r="T198">
        <v>3</v>
      </c>
      <c r="U198">
        <v>3</v>
      </c>
      <c r="V198">
        <v>3</v>
      </c>
      <c r="X198"/>
      <c r="Y198" s="3"/>
    </row>
    <row r="199" spans="1:25" ht="32.1" customHeight="1" x14ac:dyDescent="0.25">
      <c r="A199" s="1">
        <v>12725501</v>
      </c>
      <c r="B199" t="s">
        <v>221</v>
      </c>
      <c r="C199" t="s">
        <v>211</v>
      </c>
      <c r="D199" s="1">
        <v>2018</v>
      </c>
      <c r="E199" t="s">
        <v>26</v>
      </c>
      <c r="F199" t="s">
        <v>27</v>
      </c>
      <c r="G199" t="s">
        <v>67</v>
      </c>
      <c r="H199" t="s">
        <v>38</v>
      </c>
      <c r="I199" s="1" t="s">
        <v>30</v>
      </c>
      <c r="J199" s="1">
        <v>0.75</v>
      </c>
      <c r="K199" s="7">
        <v>12675</v>
      </c>
      <c r="L199">
        <v>3</v>
      </c>
      <c r="M199" s="7">
        <f>Tabell1[[#This Row],[Salgspris]]*Tabell1[[#This Row],[Totalt antall]]</f>
        <v>38025</v>
      </c>
      <c r="N199">
        <v>2</v>
      </c>
      <c r="Q199">
        <v>1</v>
      </c>
      <c r="X199"/>
      <c r="Y199" s="3" t="s">
        <v>31</v>
      </c>
    </row>
    <row r="200" spans="1:25" ht="32.1" customHeight="1" x14ac:dyDescent="0.25">
      <c r="A200" s="1">
        <v>12724501</v>
      </c>
      <c r="B200" t="s">
        <v>221</v>
      </c>
      <c r="C200" t="s">
        <v>224</v>
      </c>
      <c r="D200" s="1">
        <v>2018</v>
      </c>
      <c r="E200" t="s">
        <v>26</v>
      </c>
      <c r="F200" t="s">
        <v>27</v>
      </c>
      <c r="G200" t="s">
        <v>63</v>
      </c>
      <c r="H200" t="s">
        <v>38</v>
      </c>
      <c r="I200" s="1" t="s">
        <v>30</v>
      </c>
      <c r="J200" s="1">
        <v>0.75</v>
      </c>
      <c r="K200" s="7">
        <v>1531.4</v>
      </c>
      <c r="L200">
        <v>60</v>
      </c>
      <c r="M200" s="7">
        <f>Tabell1[[#This Row],[Salgspris]]*Tabell1[[#This Row],[Totalt antall]]</f>
        <v>91884</v>
      </c>
      <c r="N200">
        <v>24</v>
      </c>
      <c r="O200">
        <v>6</v>
      </c>
      <c r="P200">
        <v>3</v>
      </c>
      <c r="Q200">
        <v>6</v>
      </c>
      <c r="R200">
        <v>3</v>
      </c>
      <c r="S200">
        <v>3</v>
      </c>
      <c r="T200">
        <v>3</v>
      </c>
      <c r="U200">
        <v>9</v>
      </c>
      <c r="V200">
        <v>3</v>
      </c>
      <c r="X200"/>
      <c r="Y200" s="3"/>
    </row>
    <row r="201" spans="1:25" ht="32.1" customHeight="1" x14ac:dyDescent="0.25">
      <c r="A201" s="1">
        <v>12724401</v>
      </c>
      <c r="B201" t="s">
        <v>221</v>
      </c>
      <c r="C201" t="s">
        <v>64</v>
      </c>
      <c r="D201" s="1">
        <v>2018</v>
      </c>
      <c r="E201" t="s">
        <v>26</v>
      </c>
      <c r="F201" t="s">
        <v>27</v>
      </c>
      <c r="G201" t="s">
        <v>35</v>
      </c>
      <c r="H201" t="s">
        <v>38</v>
      </c>
      <c r="I201" s="1" t="s">
        <v>30</v>
      </c>
      <c r="J201" s="1">
        <v>0.75</v>
      </c>
      <c r="K201" s="7">
        <v>2466.6999999999998</v>
      </c>
      <c r="L201">
        <v>12</v>
      </c>
      <c r="M201" s="7">
        <f>Tabell1[[#This Row],[Salgspris]]*Tabell1[[#This Row],[Totalt antall]]</f>
        <v>29600.399999999998</v>
      </c>
      <c r="N201">
        <v>6</v>
      </c>
      <c r="O201">
        <v>2</v>
      </c>
      <c r="Q201">
        <v>2</v>
      </c>
      <c r="R201">
        <v>2</v>
      </c>
      <c r="X201"/>
      <c r="Y201" s="3"/>
    </row>
    <row r="202" spans="1:25" ht="32.1" customHeight="1" x14ac:dyDescent="0.25">
      <c r="A202" s="1">
        <v>12146201</v>
      </c>
      <c r="B202" t="s">
        <v>221</v>
      </c>
      <c r="C202" t="s">
        <v>225</v>
      </c>
      <c r="D202" s="1">
        <v>2018</v>
      </c>
      <c r="E202" t="s">
        <v>26</v>
      </c>
      <c r="F202" t="s">
        <v>27</v>
      </c>
      <c r="G202" t="s">
        <v>35</v>
      </c>
      <c r="H202" t="s">
        <v>29</v>
      </c>
      <c r="I202" s="1" t="s">
        <v>30</v>
      </c>
      <c r="J202" s="1">
        <v>0.75</v>
      </c>
      <c r="K202" s="7">
        <v>791.4</v>
      </c>
      <c r="L202">
        <v>60</v>
      </c>
      <c r="M202" s="7">
        <f>Tabell1[[#This Row],[Salgspris]]*Tabell1[[#This Row],[Totalt antall]]</f>
        <v>47484</v>
      </c>
      <c r="N202">
        <v>18</v>
      </c>
      <c r="O202">
        <v>6</v>
      </c>
      <c r="P202">
        <v>3</v>
      </c>
      <c r="Q202">
        <v>6</v>
      </c>
      <c r="R202">
        <v>6</v>
      </c>
      <c r="S202">
        <v>3</v>
      </c>
      <c r="T202">
        <v>6</v>
      </c>
      <c r="U202">
        <v>12</v>
      </c>
      <c r="X202"/>
      <c r="Y202" s="3"/>
    </row>
    <row r="203" spans="1:25" ht="32.1" customHeight="1" x14ac:dyDescent="0.25">
      <c r="A203" s="1">
        <v>12725301</v>
      </c>
      <c r="B203" t="s">
        <v>221</v>
      </c>
      <c r="C203" t="s">
        <v>226</v>
      </c>
      <c r="D203" s="1">
        <v>2018</v>
      </c>
      <c r="E203" t="s">
        <v>26</v>
      </c>
      <c r="F203" t="s">
        <v>27</v>
      </c>
      <c r="G203" t="s">
        <v>35</v>
      </c>
      <c r="H203" t="s">
        <v>29</v>
      </c>
      <c r="I203" s="1" t="s">
        <v>30</v>
      </c>
      <c r="J203" s="1">
        <v>0.75</v>
      </c>
      <c r="K203" s="7">
        <v>861.4</v>
      </c>
      <c r="L203">
        <v>132</v>
      </c>
      <c r="M203" s="7">
        <f>Tabell1[[#This Row],[Salgspris]]*Tabell1[[#This Row],[Totalt antall]]</f>
        <v>113704.8</v>
      </c>
      <c r="N203">
        <v>36</v>
      </c>
      <c r="O203">
        <v>12</v>
      </c>
      <c r="P203">
        <v>6</v>
      </c>
      <c r="Q203">
        <v>12</v>
      </c>
      <c r="R203">
        <v>12</v>
      </c>
      <c r="S203">
        <v>6</v>
      </c>
      <c r="T203">
        <v>12</v>
      </c>
      <c r="U203">
        <v>12</v>
      </c>
      <c r="V203">
        <v>12</v>
      </c>
      <c r="W203">
        <v>6</v>
      </c>
      <c r="X203">
        <v>6</v>
      </c>
      <c r="Y203" s="3"/>
    </row>
    <row r="204" spans="1:25" ht="32.1" customHeight="1" x14ac:dyDescent="0.25">
      <c r="A204" s="1">
        <v>12724701</v>
      </c>
      <c r="B204" t="s">
        <v>221</v>
      </c>
      <c r="C204" t="s">
        <v>220</v>
      </c>
      <c r="D204" s="1">
        <v>2018</v>
      </c>
      <c r="E204" t="s">
        <v>26</v>
      </c>
      <c r="F204" t="s">
        <v>27</v>
      </c>
      <c r="G204" t="s">
        <v>35</v>
      </c>
      <c r="H204" t="s">
        <v>38</v>
      </c>
      <c r="I204" s="1" t="s">
        <v>30</v>
      </c>
      <c r="J204" s="1">
        <v>0.75</v>
      </c>
      <c r="K204" s="7">
        <v>1736.7</v>
      </c>
      <c r="L204">
        <v>24</v>
      </c>
      <c r="M204" s="7">
        <f>Tabell1[[#This Row],[Salgspris]]*Tabell1[[#This Row],[Totalt antall]]</f>
        <v>41680.800000000003</v>
      </c>
      <c r="N204">
        <v>12</v>
      </c>
      <c r="O204">
        <v>3</v>
      </c>
      <c r="Q204">
        <v>3</v>
      </c>
      <c r="U204">
        <v>3</v>
      </c>
      <c r="V204">
        <v>3</v>
      </c>
      <c r="X204"/>
      <c r="Y204" s="3"/>
    </row>
    <row r="205" spans="1:25" ht="32.1" customHeight="1" x14ac:dyDescent="0.25">
      <c r="A205" s="1">
        <v>12724901</v>
      </c>
      <c r="B205" t="s">
        <v>221</v>
      </c>
      <c r="C205" t="s">
        <v>227</v>
      </c>
      <c r="D205" s="1">
        <v>2018</v>
      </c>
      <c r="E205" t="s">
        <v>26</v>
      </c>
      <c r="F205" t="s">
        <v>27</v>
      </c>
      <c r="G205" t="s">
        <v>35</v>
      </c>
      <c r="H205" t="s">
        <v>38</v>
      </c>
      <c r="I205" s="1" t="s">
        <v>30</v>
      </c>
      <c r="J205" s="1">
        <v>0.75</v>
      </c>
      <c r="K205" s="7">
        <v>1873.9</v>
      </c>
      <c r="L205">
        <v>36</v>
      </c>
      <c r="M205" s="7">
        <f>Tabell1[[#This Row],[Salgspris]]*Tabell1[[#This Row],[Totalt antall]]</f>
        <v>67460.400000000009</v>
      </c>
      <c r="N205">
        <v>12</v>
      </c>
      <c r="O205">
        <v>3</v>
      </c>
      <c r="P205">
        <v>3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3</v>
      </c>
      <c r="X205"/>
      <c r="Y205" s="3"/>
    </row>
    <row r="206" spans="1:25" ht="32.1" customHeight="1" x14ac:dyDescent="0.25">
      <c r="A206" s="1">
        <v>12724601</v>
      </c>
      <c r="B206" t="s">
        <v>221</v>
      </c>
      <c r="C206" t="s">
        <v>228</v>
      </c>
      <c r="D206" s="1">
        <v>2018</v>
      </c>
      <c r="E206" t="s">
        <v>26</v>
      </c>
      <c r="F206" t="s">
        <v>27</v>
      </c>
      <c r="G206" t="s">
        <v>229</v>
      </c>
      <c r="H206" t="s">
        <v>38</v>
      </c>
      <c r="I206" s="1" t="s">
        <v>30</v>
      </c>
      <c r="J206" s="1">
        <v>0.75</v>
      </c>
      <c r="K206" s="7">
        <v>1531.4</v>
      </c>
      <c r="L206">
        <v>132</v>
      </c>
      <c r="M206" s="7">
        <f>Tabell1[[#This Row],[Salgspris]]*Tabell1[[#This Row],[Totalt antall]]</f>
        <v>202144.80000000002</v>
      </c>
      <c r="N206">
        <v>36</v>
      </c>
      <c r="O206">
        <v>12</v>
      </c>
      <c r="P206">
        <v>6</v>
      </c>
      <c r="Q206">
        <v>12</v>
      </c>
      <c r="R206">
        <v>12</v>
      </c>
      <c r="S206">
        <v>6</v>
      </c>
      <c r="T206">
        <v>12</v>
      </c>
      <c r="U206">
        <v>18</v>
      </c>
      <c r="V206">
        <v>12</v>
      </c>
      <c r="W206">
        <v>3</v>
      </c>
      <c r="X206">
        <v>3</v>
      </c>
      <c r="Y206" s="3"/>
    </row>
    <row r="207" spans="1:25" ht="32.1" customHeight="1" x14ac:dyDescent="0.25">
      <c r="A207" s="1">
        <v>12146905</v>
      </c>
      <c r="B207" t="s">
        <v>221</v>
      </c>
      <c r="C207" t="s">
        <v>228</v>
      </c>
      <c r="D207" s="1">
        <v>2018</v>
      </c>
      <c r="E207" t="s">
        <v>26</v>
      </c>
      <c r="F207" t="s">
        <v>27</v>
      </c>
      <c r="G207" t="s">
        <v>229</v>
      </c>
      <c r="H207" t="s">
        <v>38</v>
      </c>
      <c r="I207" s="1" t="s">
        <v>30</v>
      </c>
      <c r="J207" s="1">
        <v>1.5</v>
      </c>
      <c r="K207" s="7">
        <v>3138.8</v>
      </c>
      <c r="L207">
        <v>24</v>
      </c>
      <c r="M207" s="7">
        <f>Tabell1[[#This Row],[Salgspris]]*Tabell1[[#This Row],[Totalt antall]]</f>
        <v>75331.200000000012</v>
      </c>
      <c r="N207">
        <v>12</v>
      </c>
      <c r="O207">
        <v>3</v>
      </c>
      <c r="Q207">
        <v>3</v>
      </c>
      <c r="U207">
        <v>3</v>
      </c>
      <c r="V207">
        <v>3</v>
      </c>
      <c r="X207"/>
      <c r="Y207" s="3"/>
    </row>
    <row r="208" spans="1:25" ht="32.1" customHeight="1" x14ac:dyDescent="0.25">
      <c r="A208" s="1">
        <v>12725101</v>
      </c>
      <c r="B208" t="s">
        <v>221</v>
      </c>
      <c r="C208" t="s">
        <v>230</v>
      </c>
      <c r="D208" s="1">
        <v>2018</v>
      </c>
      <c r="E208" t="s">
        <v>26</v>
      </c>
      <c r="F208" t="s">
        <v>27</v>
      </c>
      <c r="G208" t="s">
        <v>231</v>
      </c>
      <c r="H208" t="s">
        <v>29</v>
      </c>
      <c r="I208" s="1" t="s">
        <v>30</v>
      </c>
      <c r="J208" s="1">
        <v>0.75</v>
      </c>
      <c r="K208" s="7">
        <v>521.29999999999995</v>
      </c>
      <c r="L208">
        <v>120</v>
      </c>
      <c r="M208" s="7">
        <f>Tabell1[[#This Row],[Salgspris]]*Tabell1[[#This Row],[Totalt antall]]</f>
        <v>62555.999999999993</v>
      </c>
      <c r="N208">
        <v>30</v>
      </c>
      <c r="O208">
        <v>12</v>
      </c>
      <c r="P208">
        <v>12</v>
      </c>
      <c r="Q208">
        <v>12</v>
      </c>
      <c r="R208">
        <v>12</v>
      </c>
      <c r="S208">
        <v>12</v>
      </c>
      <c r="T208">
        <v>12</v>
      </c>
      <c r="U208">
        <v>18</v>
      </c>
      <c r="X208"/>
      <c r="Y208" s="3"/>
    </row>
    <row r="209" spans="1:25" ht="32.1" customHeight="1" x14ac:dyDescent="0.25">
      <c r="A209" s="1">
        <v>12145701</v>
      </c>
      <c r="B209" t="s">
        <v>221</v>
      </c>
      <c r="C209" t="s">
        <v>232</v>
      </c>
      <c r="D209" s="1">
        <v>2018</v>
      </c>
      <c r="E209" t="s">
        <v>26</v>
      </c>
      <c r="F209" t="s">
        <v>27</v>
      </c>
      <c r="G209" t="s">
        <v>126</v>
      </c>
      <c r="H209" t="s">
        <v>29</v>
      </c>
      <c r="I209" s="1" t="s">
        <v>30</v>
      </c>
      <c r="J209" s="1">
        <v>0.75</v>
      </c>
      <c r="K209" s="7">
        <v>701.4</v>
      </c>
      <c r="L209">
        <v>120</v>
      </c>
      <c r="M209" s="7">
        <f>Tabell1[[#This Row],[Salgspris]]*Tabell1[[#This Row],[Totalt antall]]</f>
        <v>84168</v>
      </c>
      <c r="N209">
        <v>30</v>
      </c>
      <c r="O209">
        <v>12</v>
      </c>
      <c r="P209">
        <v>12</v>
      </c>
      <c r="Q209">
        <v>12</v>
      </c>
      <c r="R209">
        <v>12</v>
      </c>
      <c r="S209">
        <v>12</v>
      </c>
      <c r="T209">
        <v>12</v>
      </c>
      <c r="U209">
        <v>18</v>
      </c>
      <c r="X209"/>
      <c r="Y209" s="3"/>
    </row>
    <row r="210" spans="1:25" ht="32.1" customHeight="1" x14ac:dyDescent="0.25">
      <c r="A210" s="1">
        <v>12702601</v>
      </c>
      <c r="B210" t="s">
        <v>233</v>
      </c>
      <c r="C210" t="s">
        <v>55</v>
      </c>
      <c r="D210" s="1">
        <v>2018</v>
      </c>
      <c r="E210" t="s">
        <v>26</v>
      </c>
      <c r="F210" t="s">
        <v>27</v>
      </c>
      <c r="G210" t="s">
        <v>55</v>
      </c>
      <c r="I210" s="1" t="s">
        <v>45</v>
      </c>
      <c r="J210" s="1">
        <v>0.75</v>
      </c>
      <c r="K210" s="7">
        <v>565</v>
      </c>
      <c r="L210">
        <v>120</v>
      </c>
      <c r="M210" s="7">
        <f>Tabell1[[#This Row],[Salgspris]]*Tabell1[[#This Row],[Totalt antall]]</f>
        <v>67800</v>
      </c>
      <c r="N210">
        <v>30</v>
      </c>
      <c r="O210">
        <v>12</v>
      </c>
      <c r="P210">
        <v>12</v>
      </c>
      <c r="Q210">
        <v>12</v>
      </c>
      <c r="S210">
        <v>12</v>
      </c>
      <c r="T210">
        <v>12</v>
      </c>
      <c r="U210">
        <v>18</v>
      </c>
      <c r="V210">
        <v>12</v>
      </c>
      <c r="X210"/>
      <c r="Y210" s="3"/>
    </row>
    <row r="211" spans="1:25" ht="32.1" customHeight="1" x14ac:dyDescent="0.25">
      <c r="A211" s="1">
        <v>12702401</v>
      </c>
      <c r="B211" t="s">
        <v>233</v>
      </c>
      <c r="C211" t="s">
        <v>234</v>
      </c>
      <c r="D211" s="1">
        <v>2018</v>
      </c>
      <c r="E211" t="s">
        <v>26</v>
      </c>
      <c r="F211" t="s">
        <v>27</v>
      </c>
      <c r="G211" t="s">
        <v>55</v>
      </c>
      <c r="H211" t="s">
        <v>29</v>
      </c>
      <c r="I211" s="1" t="s">
        <v>45</v>
      </c>
      <c r="J211" s="1">
        <v>0.75</v>
      </c>
      <c r="K211" s="7">
        <v>703.2</v>
      </c>
      <c r="L211">
        <v>120</v>
      </c>
      <c r="M211" s="7">
        <f>Tabell1[[#This Row],[Salgspris]]*Tabell1[[#This Row],[Totalt antall]]</f>
        <v>84384</v>
      </c>
      <c r="N211">
        <v>36</v>
      </c>
      <c r="O211">
        <v>12</v>
      </c>
      <c r="P211">
        <v>12</v>
      </c>
      <c r="Q211">
        <v>12</v>
      </c>
      <c r="S211">
        <v>12</v>
      </c>
      <c r="T211">
        <v>12</v>
      </c>
      <c r="U211">
        <v>12</v>
      </c>
      <c r="V211">
        <v>12</v>
      </c>
      <c r="X211"/>
      <c r="Y211" s="3"/>
    </row>
    <row r="212" spans="1:25" ht="32.1" customHeight="1" x14ac:dyDescent="0.25">
      <c r="A212" s="1">
        <v>12702001</v>
      </c>
      <c r="B212" t="s">
        <v>233</v>
      </c>
      <c r="C212" t="s">
        <v>235</v>
      </c>
      <c r="D212" s="1">
        <v>2018</v>
      </c>
      <c r="E212" t="s">
        <v>26</v>
      </c>
      <c r="F212" t="s">
        <v>27</v>
      </c>
      <c r="G212" t="s">
        <v>55</v>
      </c>
      <c r="H212" t="s">
        <v>29</v>
      </c>
      <c r="I212" s="1" t="s">
        <v>45</v>
      </c>
      <c r="J212" s="1">
        <v>0.75</v>
      </c>
      <c r="K212" s="7">
        <v>841.8</v>
      </c>
      <c r="L212">
        <v>72</v>
      </c>
      <c r="M212" s="7">
        <f>Tabell1[[#This Row],[Salgspris]]*Tabell1[[#This Row],[Totalt antall]]</f>
        <v>60609.599999999999</v>
      </c>
      <c r="N212">
        <v>36</v>
      </c>
      <c r="O212">
        <v>6</v>
      </c>
      <c r="P212">
        <v>6</v>
      </c>
      <c r="Q212">
        <v>6</v>
      </c>
      <c r="S212">
        <v>6</v>
      </c>
      <c r="T212">
        <v>6</v>
      </c>
      <c r="U212">
        <v>6</v>
      </c>
      <c r="X212"/>
      <c r="Y212" s="3"/>
    </row>
    <row r="213" spans="1:25" ht="32.1" customHeight="1" x14ac:dyDescent="0.25">
      <c r="A213" s="1">
        <v>12702301</v>
      </c>
      <c r="B213" t="s">
        <v>233</v>
      </c>
      <c r="C213" t="s">
        <v>236</v>
      </c>
      <c r="D213" s="1">
        <v>2018</v>
      </c>
      <c r="E213" t="s">
        <v>26</v>
      </c>
      <c r="F213" t="s">
        <v>27</v>
      </c>
      <c r="G213" t="s">
        <v>55</v>
      </c>
      <c r="H213" t="s">
        <v>29</v>
      </c>
      <c r="I213" s="1" t="s">
        <v>45</v>
      </c>
      <c r="J213" s="1">
        <v>0.75</v>
      </c>
      <c r="K213" s="7">
        <v>703.2</v>
      </c>
      <c r="L213">
        <v>204</v>
      </c>
      <c r="M213" s="7">
        <f>Tabell1[[#This Row],[Salgspris]]*Tabell1[[#This Row],[Totalt antall]]</f>
        <v>143452.80000000002</v>
      </c>
      <c r="N213">
        <v>48</v>
      </c>
      <c r="O213">
        <v>24</v>
      </c>
      <c r="P213">
        <v>12</v>
      </c>
      <c r="Q213">
        <v>24</v>
      </c>
      <c r="R213">
        <v>12</v>
      </c>
      <c r="S213">
        <v>12</v>
      </c>
      <c r="T213">
        <v>12</v>
      </c>
      <c r="U213">
        <v>36</v>
      </c>
      <c r="V213">
        <v>12</v>
      </c>
      <c r="W213">
        <v>6</v>
      </c>
      <c r="X213">
        <v>6</v>
      </c>
      <c r="Y213" s="3"/>
    </row>
    <row r="214" spans="1:25" ht="32.1" customHeight="1" x14ac:dyDescent="0.25">
      <c r="A214" s="1">
        <v>12702101</v>
      </c>
      <c r="B214" t="s">
        <v>233</v>
      </c>
      <c r="C214" t="s">
        <v>87</v>
      </c>
      <c r="D214" s="1">
        <v>2018</v>
      </c>
      <c r="E214" t="s">
        <v>26</v>
      </c>
      <c r="F214" t="s">
        <v>27</v>
      </c>
      <c r="G214" t="s">
        <v>55</v>
      </c>
      <c r="H214" t="s">
        <v>29</v>
      </c>
      <c r="I214" s="1" t="s">
        <v>45</v>
      </c>
      <c r="J214" s="1">
        <v>0.75</v>
      </c>
      <c r="K214" s="7">
        <v>703.2</v>
      </c>
      <c r="L214">
        <v>204</v>
      </c>
      <c r="M214" s="7">
        <f>Tabell1[[#This Row],[Salgspris]]*Tabell1[[#This Row],[Totalt antall]]</f>
        <v>143452.80000000002</v>
      </c>
      <c r="N214">
        <v>48</v>
      </c>
      <c r="O214">
        <v>24</v>
      </c>
      <c r="P214">
        <v>12</v>
      </c>
      <c r="Q214">
        <v>24</v>
      </c>
      <c r="R214">
        <v>12</v>
      </c>
      <c r="S214">
        <v>12</v>
      </c>
      <c r="T214">
        <v>12</v>
      </c>
      <c r="U214">
        <v>36</v>
      </c>
      <c r="V214">
        <v>12</v>
      </c>
      <c r="W214">
        <v>6</v>
      </c>
      <c r="X214">
        <v>6</v>
      </c>
      <c r="Y214" s="3"/>
    </row>
    <row r="215" spans="1:25" ht="32.1" customHeight="1" x14ac:dyDescent="0.25">
      <c r="A215" s="1">
        <v>12702201</v>
      </c>
      <c r="B215" t="s">
        <v>233</v>
      </c>
      <c r="C215" t="s">
        <v>237</v>
      </c>
      <c r="D215" s="1">
        <v>2018</v>
      </c>
      <c r="E215" t="s">
        <v>26</v>
      </c>
      <c r="F215" t="s">
        <v>27</v>
      </c>
      <c r="G215" t="s">
        <v>55</v>
      </c>
      <c r="H215" t="s">
        <v>29</v>
      </c>
      <c r="I215" s="1" t="s">
        <v>45</v>
      </c>
      <c r="J215" s="1">
        <v>0.75</v>
      </c>
      <c r="K215" s="7">
        <v>928.3</v>
      </c>
      <c r="L215">
        <v>36</v>
      </c>
      <c r="M215" s="7">
        <f>Tabell1[[#This Row],[Salgspris]]*Tabell1[[#This Row],[Totalt antall]]</f>
        <v>33418.799999999996</v>
      </c>
      <c r="N215">
        <v>18</v>
      </c>
      <c r="O215">
        <v>3</v>
      </c>
      <c r="P215">
        <v>2</v>
      </c>
      <c r="Q215">
        <v>3</v>
      </c>
      <c r="R215">
        <v>2</v>
      </c>
      <c r="S215">
        <v>2</v>
      </c>
      <c r="T215">
        <v>2</v>
      </c>
      <c r="U215">
        <v>2</v>
      </c>
      <c r="V215">
        <v>2</v>
      </c>
      <c r="X215"/>
      <c r="Y215" s="3"/>
    </row>
    <row r="216" spans="1:25" ht="32.1" customHeight="1" x14ac:dyDescent="0.25">
      <c r="A216" s="1">
        <v>12701901</v>
      </c>
      <c r="B216" t="s">
        <v>233</v>
      </c>
      <c r="C216" t="s">
        <v>89</v>
      </c>
      <c r="D216" s="1">
        <v>2018</v>
      </c>
      <c r="E216" t="s">
        <v>26</v>
      </c>
      <c r="F216" t="s">
        <v>27</v>
      </c>
      <c r="G216" t="s">
        <v>55</v>
      </c>
      <c r="H216" t="s">
        <v>38</v>
      </c>
      <c r="I216" s="1" t="s">
        <v>45</v>
      </c>
      <c r="J216" s="1">
        <v>0.75</v>
      </c>
      <c r="K216" s="7">
        <v>2087.3000000000002</v>
      </c>
      <c r="L216">
        <v>24</v>
      </c>
      <c r="M216" s="7">
        <f>Tabell1[[#This Row],[Salgspris]]*Tabell1[[#This Row],[Totalt antall]]</f>
        <v>50095.200000000004</v>
      </c>
      <c r="N216">
        <v>12</v>
      </c>
      <c r="O216">
        <v>2</v>
      </c>
      <c r="Q216">
        <v>2</v>
      </c>
      <c r="R216">
        <v>2</v>
      </c>
      <c r="V216">
        <v>2</v>
      </c>
      <c r="W216">
        <v>2</v>
      </c>
      <c r="X216">
        <v>2</v>
      </c>
      <c r="Y216" s="3"/>
    </row>
    <row r="217" spans="1:25" ht="32.1" customHeight="1" x14ac:dyDescent="0.25">
      <c r="A217" s="1">
        <v>12701701</v>
      </c>
      <c r="B217" t="s">
        <v>233</v>
      </c>
      <c r="C217" t="s">
        <v>90</v>
      </c>
      <c r="D217" s="1">
        <v>2018</v>
      </c>
      <c r="E217" t="s">
        <v>26</v>
      </c>
      <c r="F217" t="s">
        <v>27</v>
      </c>
      <c r="G217" t="s">
        <v>91</v>
      </c>
      <c r="H217" t="s">
        <v>38</v>
      </c>
      <c r="I217" s="1" t="s">
        <v>45</v>
      </c>
      <c r="J217" s="1">
        <v>0.75</v>
      </c>
      <c r="K217" s="7">
        <v>2087.3000000000002</v>
      </c>
      <c r="L217">
        <v>24</v>
      </c>
      <c r="M217" s="7">
        <f>Tabell1[[#This Row],[Salgspris]]*Tabell1[[#This Row],[Totalt antall]]</f>
        <v>50095.200000000004</v>
      </c>
      <c r="N217">
        <v>12</v>
      </c>
      <c r="O217">
        <v>2</v>
      </c>
      <c r="P217">
        <v>2</v>
      </c>
      <c r="Q217">
        <v>2</v>
      </c>
      <c r="S217">
        <v>2</v>
      </c>
      <c r="T217">
        <v>2</v>
      </c>
      <c r="U217">
        <v>2</v>
      </c>
      <c r="X217"/>
      <c r="Y217" s="3"/>
    </row>
    <row r="218" spans="1:25" ht="32.1" customHeight="1" x14ac:dyDescent="0.25">
      <c r="A218" s="1">
        <v>12701801</v>
      </c>
      <c r="B218" t="s">
        <v>233</v>
      </c>
      <c r="C218" t="s">
        <v>92</v>
      </c>
      <c r="D218" s="1">
        <v>2018</v>
      </c>
      <c r="E218" t="s">
        <v>26</v>
      </c>
      <c r="F218" t="s">
        <v>27</v>
      </c>
      <c r="G218" t="s">
        <v>91</v>
      </c>
      <c r="H218" t="s">
        <v>38</v>
      </c>
      <c r="I218" s="1" t="s">
        <v>45</v>
      </c>
      <c r="J218" s="1">
        <v>0.75</v>
      </c>
      <c r="K218" s="7">
        <v>4581.1000000000004</v>
      </c>
      <c r="L218">
        <v>7</v>
      </c>
      <c r="M218" s="7">
        <f>Tabell1[[#This Row],[Salgspris]]*Tabell1[[#This Row],[Totalt antall]]</f>
        <v>32067.700000000004</v>
      </c>
      <c r="N218">
        <v>3</v>
      </c>
      <c r="O218">
        <v>1</v>
      </c>
      <c r="Q218">
        <v>1</v>
      </c>
      <c r="T218">
        <v>1</v>
      </c>
      <c r="U218">
        <v>1</v>
      </c>
      <c r="X218"/>
      <c r="Y218" s="3" t="s">
        <v>31</v>
      </c>
    </row>
    <row r="219" spans="1:25" ht="32.1" customHeight="1" x14ac:dyDescent="0.25">
      <c r="A219" s="1">
        <v>12756601</v>
      </c>
      <c r="B219" t="s">
        <v>238</v>
      </c>
      <c r="C219" t="s">
        <v>205</v>
      </c>
      <c r="D219" s="1">
        <v>2018</v>
      </c>
      <c r="E219" t="s">
        <v>26</v>
      </c>
      <c r="F219" t="s">
        <v>27</v>
      </c>
      <c r="G219" t="s">
        <v>63</v>
      </c>
      <c r="H219" t="s">
        <v>38</v>
      </c>
      <c r="I219" s="1" t="s">
        <v>30</v>
      </c>
      <c r="J219" s="1">
        <v>0.75</v>
      </c>
      <c r="K219" s="7">
        <v>1337.9</v>
      </c>
      <c r="L219">
        <v>12</v>
      </c>
      <c r="M219" s="7">
        <f>Tabell1[[#This Row],[Salgspris]]*Tabell1[[#This Row],[Totalt antall]]</f>
        <v>16054.800000000001</v>
      </c>
      <c r="N219">
        <v>6</v>
      </c>
      <c r="O219">
        <v>2</v>
      </c>
      <c r="Q219">
        <v>2</v>
      </c>
      <c r="U219">
        <v>2</v>
      </c>
      <c r="X219"/>
      <c r="Y219" s="3"/>
    </row>
    <row r="220" spans="1:25" ht="32.1" customHeight="1" x14ac:dyDescent="0.25">
      <c r="A220" s="1">
        <v>12756501</v>
      </c>
      <c r="B220" t="s">
        <v>238</v>
      </c>
      <c r="C220" t="s">
        <v>37</v>
      </c>
      <c r="D220" s="1">
        <v>2018</v>
      </c>
      <c r="E220" t="s">
        <v>26</v>
      </c>
      <c r="F220" t="s">
        <v>27</v>
      </c>
      <c r="G220" t="s">
        <v>37</v>
      </c>
      <c r="I220" s="1" t="s">
        <v>30</v>
      </c>
      <c r="J220" s="1">
        <v>0.75</v>
      </c>
      <c r="K220" s="7">
        <v>500.4</v>
      </c>
      <c r="L220">
        <v>120</v>
      </c>
      <c r="M220" s="7">
        <f>Tabell1[[#This Row],[Salgspris]]*Tabell1[[#This Row],[Totalt antall]]</f>
        <v>60048</v>
      </c>
      <c r="N220">
        <v>30</v>
      </c>
      <c r="O220">
        <v>12</v>
      </c>
      <c r="P220">
        <v>12</v>
      </c>
      <c r="Q220">
        <v>12</v>
      </c>
      <c r="R220">
        <v>12</v>
      </c>
      <c r="S220">
        <v>12</v>
      </c>
      <c r="T220">
        <v>12</v>
      </c>
      <c r="U220">
        <v>18</v>
      </c>
      <c r="X220"/>
      <c r="Y220" s="3"/>
    </row>
    <row r="221" spans="1:25" ht="32.1" customHeight="1" x14ac:dyDescent="0.25">
      <c r="A221" s="1">
        <v>12755901</v>
      </c>
      <c r="B221" t="s">
        <v>238</v>
      </c>
      <c r="C221" t="s">
        <v>239</v>
      </c>
      <c r="D221" s="1">
        <v>2018</v>
      </c>
      <c r="E221" t="s">
        <v>26</v>
      </c>
      <c r="F221" t="s">
        <v>27</v>
      </c>
      <c r="G221" t="s">
        <v>126</v>
      </c>
      <c r="I221" s="1" t="s">
        <v>30</v>
      </c>
      <c r="J221" s="1">
        <v>0.75</v>
      </c>
      <c r="K221" s="7">
        <v>549.29999999999995</v>
      </c>
      <c r="L221">
        <v>60</v>
      </c>
      <c r="M221" s="7">
        <f>Tabell1[[#This Row],[Salgspris]]*Tabell1[[#This Row],[Totalt antall]]</f>
        <v>32958</v>
      </c>
      <c r="N221">
        <v>18</v>
      </c>
      <c r="O221">
        <v>6</v>
      </c>
      <c r="P221">
        <v>3</v>
      </c>
      <c r="Q221">
        <v>6</v>
      </c>
      <c r="R221">
        <v>3</v>
      </c>
      <c r="S221">
        <v>3</v>
      </c>
      <c r="T221">
        <v>3</v>
      </c>
      <c r="U221">
        <v>12</v>
      </c>
      <c r="V221">
        <v>6</v>
      </c>
      <c r="X221"/>
      <c r="Y221" s="3"/>
    </row>
    <row r="222" spans="1:25" ht="32.1" customHeight="1" x14ac:dyDescent="0.25">
      <c r="A222" s="1">
        <v>12757201</v>
      </c>
      <c r="B222" t="s">
        <v>238</v>
      </c>
      <c r="C222" t="s">
        <v>240</v>
      </c>
      <c r="D222" s="1">
        <v>2018</v>
      </c>
      <c r="E222" t="s">
        <v>26</v>
      </c>
      <c r="F222" t="s">
        <v>27</v>
      </c>
      <c r="G222" t="s">
        <v>126</v>
      </c>
      <c r="H222" t="s">
        <v>29</v>
      </c>
      <c r="I222" s="1" t="s">
        <v>30</v>
      </c>
      <c r="J222" s="1">
        <v>0.75</v>
      </c>
      <c r="K222" s="7">
        <v>745</v>
      </c>
      <c r="L222">
        <v>12</v>
      </c>
      <c r="M222" s="7">
        <f>Tabell1[[#This Row],[Salgspris]]*Tabell1[[#This Row],[Totalt antall]]</f>
        <v>8940</v>
      </c>
      <c r="N222">
        <v>6</v>
      </c>
      <c r="O222">
        <v>3</v>
      </c>
      <c r="Q222">
        <v>3</v>
      </c>
      <c r="X222"/>
      <c r="Y222" s="3"/>
    </row>
    <row r="223" spans="1:25" ht="32.1" customHeight="1" x14ac:dyDescent="0.25">
      <c r="A223" s="1">
        <v>12756401</v>
      </c>
      <c r="B223" t="s">
        <v>238</v>
      </c>
      <c r="C223" t="s">
        <v>241</v>
      </c>
      <c r="D223" s="1">
        <v>2018</v>
      </c>
      <c r="E223" t="s">
        <v>26</v>
      </c>
      <c r="F223" t="s">
        <v>27</v>
      </c>
      <c r="G223" t="s">
        <v>126</v>
      </c>
      <c r="H223" t="s">
        <v>29</v>
      </c>
      <c r="I223" s="1" t="s">
        <v>30</v>
      </c>
      <c r="J223" s="1">
        <v>0.75</v>
      </c>
      <c r="K223" s="7">
        <v>881</v>
      </c>
      <c r="L223">
        <v>24</v>
      </c>
      <c r="M223" s="7">
        <f>Tabell1[[#This Row],[Salgspris]]*Tabell1[[#This Row],[Totalt antall]]</f>
        <v>21144</v>
      </c>
      <c r="N223">
        <v>12</v>
      </c>
      <c r="O223">
        <v>3</v>
      </c>
      <c r="Q223">
        <v>3</v>
      </c>
      <c r="U223">
        <v>3</v>
      </c>
      <c r="V223">
        <v>3</v>
      </c>
      <c r="X223"/>
      <c r="Y223" s="3"/>
    </row>
    <row r="224" spans="1:25" ht="32.1" customHeight="1" x14ac:dyDescent="0.25">
      <c r="A224" s="1">
        <v>12756701</v>
      </c>
      <c r="B224" t="s">
        <v>238</v>
      </c>
      <c r="C224" t="s">
        <v>74</v>
      </c>
      <c r="D224" s="1">
        <v>2018</v>
      </c>
      <c r="E224" t="s">
        <v>26</v>
      </c>
      <c r="F224" t="s">
        <v>27</v>
      </c>
      <c r="G224" t="s">
        <v>74</v>
      </c>
      <c r="I224" s="1" t="s">
        <v>30</v>
      </c>
      <c r="J224" s="1">
        <v>0.75</v>
      </c>
      <c r="K224" s="7">
        <v>576.5</v>
      </c>
      <c r="L224">
        <v>120</v>
      </c>
      <c r="M224" s="7">
        <f>Tabell1[[#This Row],[Salgspris]]*Tabell1[[#This Row],[Totalt antall]]</f>
        <v>69180</v>
      </c>
      <c r="N224">
        <v>30</v>
      </c>
      <c r="O224">
        <v>12</v>
      </c>
      <c r="P224">
        <v>12</v>
      </c>
      <c r="Q224">
        <v>12</v>
      </c>
      <c r="S224">
        <v>12</v>
      </c>
      <c r="T224">
        <v>12</v>
      </c>
      <c r="U224">
        <v>18</v>
      </c>
      <c r="V224">
        <v>12</v>
      </c>
      <c r="X224"/>
      <c r="Y224" s="3"/>
    </row>
    <row r="225" spans="1:25" ht="32.1" customHeight="1" x14ac:dyDescent="0.25">
      <c r="A225" s="1">
        <v>12756801</v>
      </c>
      <c r="B225" t="s">
        <v>238</v>
      </c>
      <c r="C225" t="s">
        <v>207</v>
      </c>
      <c r="D225" s="1">
        <v>2018</v>
      </c>
      <c r="E225" t="s">
        <v>26</v>
      </c>
      <c r="F225" t="s">
        <v>27</v>
      </c>
      <c r="G225" t="s">
        <v>77</v>
      </c>
      <c r="H225" t="s">
        <v>38</v>
      </c>
      <c r="I225" s="1" t="s">
        <v>30</v>
      </c>
      <c r="J225" s="1">
        <v>0.75</v>
      </c>
      <c r="K225" s="7">
        <v>1370.6</v>
      </c>
      <c r="L225">
        <v>12</v>
      </c>
      <c r="M225" s="7">
        <f>Tabell1[[#This Row],[Salgspris]]*Tabell1[[#This Row],[Totalt antall]]</f>
        <v>16447.199999999997</v>
      </c>
      <c r="N225">
        <v>6</v>
      </c>
      <c r="O225">
        <v>2</v>
      </c>
      <c r="Q225">
        <v>2</v>
      </c>
      <c r="V225">
        <v>2</v>
      </c>
      <c r="X225"/>
      <c r="Y225" s="3"/>
    </row>
    <row r="226" spans="1:25" ht="32.1" customHeight="1" x14ac:dyDescent="0.25">
      <c r="A226" s="1">
        <v>12756101</v>
      </c>
      <c r="B226" t="s">
        <v>238</v>
      </c>
      <c r="C226" t="s">
        <v>52</v>
      </c>
      <c r="D226" s="1">
        <v>2018</v>
      </c>
      <c r="E226" t="s">
        <v>26</v>
      </c>
      <c r="F226" t="s">
        <v>27</v>
      </c>
      <c r="I226" s="1" t="s">
        <v>30</v>
      </c>
      <c r="J226" s="1">
        <v>0.75</v>
      </c>
      <c r="K226" s="7">
        <v>299.10000000000002</v>
      </c>
      <c r="L226">
        <v>120</v>
      </c>
      <c r="M226" s="7">
        <f>Tabell1[[#This Row],[Salgspris]]*Tabell1[[#This Row],[Totalt antall]]</f>
        <v>35892</v>
      </c>
      <c r="N226">
        <v>30</v>
      </c>
      <c r="O226">
        <v>12</v>
      </c>
      <c r="P226">
        <v>12</v>
      </c>
      <c r="Q226">
        <v>12</v>
      </c>
      <c r="S226">
        <v>12</v>
      </c>
      <c r="T226">
        <v>12</v>
      </c>
      <c r="U226">
        <v>18</v>
      </c>
      <c r="V226">
        <v>12</v>
      </c>
      <c r="X226"/>
      <c r="Y226" s="3"/>
    </row>
    <row r="227" spans="1:25" ht="32.1" customHeight="1" x14ac:dyDescent="0.25">
      <c r="A227" s="1">
        <v>12775601</v>
      </c>
      <c r="B227" t="s">
        <v>242</v>
      </c>
      <c r="C227" t="s">
        <v>169</v>
      </c>
      <c r="D227" s="1">
        <v>2018</v>
      </c>
      <c r="E227" t="s">
        <v>26</v>
      </c>
      <c r="F227" t="s">
        <v>27</v>
      </c>
      <c r="G227" t="s">
        <v>35</v>
      </c>
      <c r="H227" t="s">
        <v>29</v>
      </c>
      <c r="I227" s="1" t="s">
        <v>30</v>
      </c>
      <c r="J227" s="1">
        <v>0.75</v>
      </c>
      <c r="K227" s="7">
        <v>2507.9</v>
      </c>
      <c r="L227">
        <v>3</v>
      </c>
      <c r="M227" s="7">
        <f>Tabell1[[#This Row],[Salgspris]]*Tabell1[[#This Row],[Totalt antall]]</f>
        <v>7523.7000000000007</v>
      </c>
      <c r="N227">
        <v>2</v>
      </c>
      <c r="O227">
        <v>1</v>
      </c>
      <c r="X227"/>
      <c r="Y227" s="3" t="s">
        <v>243</v>
      </c>
    </row>
    <row r="228" spans="1:25" ht="32.1" customHeight="1" x14ac:dyDescent="0.25">
      <c r="A228" s="1">
        <v>12772101</v>
      </c>
      <c r="B228" t="s">
        <v>242</v>
      </c>
      <c r="C228" t="s">
        <v>244</v>
      </c>
      <c r="D228" s="1">
        <v>2018</v>
      </c>
      <c r="E228" t="s">
        <v>26</v>
      </c>
      <c r="F228" t="s">
        <v>27</v>
      </c>
      <c r="G228" t="s">
        <v>35</v>
      </c>
      <c r="H228" t="s">
        <v>29</v>
      </c>
      <c r="I228" s="1" t="s">
        <v>30</v>
      </c>
      <c r="J228" s="1">
        <v>0.75</v>
      </c>
      <c r="K228" s="7">
        <v>1435.1</v>
      </c>
      <c r="L228">
        <v>12</v>
      </c>
      <c r="M228" s="7">
        <f>Tabell1[[#This Row],[Salgspris]]*Tabell1[[#This Row],[Totalt antall]]</f>
        <v>17221.199999999997</v>
      </c>
      <c r="N228">
        <v>6</v>
      </c>
      <c r="O228">
        <v>1</v>
      </c>
      <c r="P228">
        <v>1</v>
      </c>
      <c r="Q228">
        <v>1</v>
      </c>
      <c r="S228">
        <v>1</v>
      </c>
      <c r="T228">
        <v>1</v>
      </c>
      <c r="V228">
        <v>1</v>
      </c>
      <c r="X228"/>
      <c r="Y228" s="3" t="s">
        <v>243</v>
      </c>
    </row>
    <row r="229" spans="1:25" ht="32.1" customHeight="1" x14ac:dyDescent="0.25">
      <c r="A229" s="1">
        <v>12771601</v>
      </c>
      <c r="B229" t="s">
        <v>242</v>
      </c>
      <c r="C229" t="s">
        <v>51</v>
      </c>
      <c r="D229" s="1">
        <v>2018</v>
      </c>
      <c r="E229" t="s">
        <v>26</v>
      </c>
      <c r="F229" t="s">
        <v>27</v>
      </c>
      <c r="G229" t="s">
        <v>35</v>
      </c>
      <c r="I229" s="1" t="s">
        <v>30</v>
      </c>
      <c r="J229" s="1">
        <v>0.75</v>
      </c>
      <c r="K229" s="7">
        <v>716.1</v>
      </c>
      <c r="L229">
        <v>60</v>
      </c>
      <c r="M229" s="7">
        <f>Tabell1[[#This Row],[Salgspris]]*Tabell1[[#This Row],[Totalt antall]]</f>
        <v>42966</v>
      </c>
      <c r="N229">
        <v>24</v>
      </c>
      <c r="O229">
        <v>6</v>
      </c>
      <c r="P229">
        <v>3</v>
      </c>
      <c r="Q229">
        <v>6</v>
      </c>
      <c r="R229">
        <v>3</v>
      </c>
      <c r="S229">
        <v>3</v>
      </c>
      <c r="T229">
        <v>6</v>
      </c>
      <c r="U229">
        <v>6</v>
      </c>
      <c r="V229">
        <v>3</v>
      </c>
      <c r="X229"/>
      <c r="Y229" s="3" t="s">
        <v>243</v>
      </c>
    </row>
    <row r="230" spans="1:25" ht="32.1" customHeight="1" x14ac:dyDescent="0.25">
      <c r="A230" s="1">
        <v>12702901</v>
      </c>
      <c r="B230" t="s">
        <v>245</v>
      </c>
      <c r="C230" t="s">
        <v>234</v>
      </c>
      <c r="D230" s="1">
        <v>2018</v>
      </c>
      <c r="E230" t="s">
        <v>26</v>
      </c>
      <c r="F230" t="s">
        <v>27</v>
      </c>
      <c r="G230" t="s">
        <v>55</v>
      </c>
      <c r="H230" t="s">
        <v>29</v>
      </c>
      <c r="I230" s="1" t="s">
        <v>45</v>
      </c>
      <c r="J230" s="1">
        <v>0.75</v>
      </c>
      <c r="K230" s="7">
        <v>651.5</v>
      </c>
      <c r="L230">
        <v>144</v>
      </c>
      <c r="M230" s="7">
        <f>Tabell1[[#This Row],[Salgspris]]*Tabell1[[#This Row],[Totalt antall]]</f>
        <v>93816</v>
      </c>
      <c r="N230">
        <v>36</v>
      </c>
      <c r="O230">
        <v>12</v>
      </c>
      <c r="P230">
        <v>12</v>
      </c>
      <c r="Q230">
        <v>12</v>
      </c>
      <c r="S230">
        <v>12</v>
      </c>
      <c r="T230">
        <v>12</v>
      </c>
      <c r="U230">
        <v>12</v>
      </c>
      <c r="V230">
        <v>24</v>
      </c>
      <c r="W230">
        <v>6</v>
      </c>
      <c r="X230">
        <v>6</v>
      </c>
      <c r="Y230" s="3"/>
    </row>
    <row r="231" spans="1:25" ht="32.1" customHeight="1" x14ac:dyDescent="0.25">
      <c r="A231" s="1">
        <v>12702801</v>
      </c>
      <c r="B231" t="s">
        <v>245</v>
      </c>
      <c r="C231" t="s">
        <v>87</v>
      </c>
      <c r="D231" s="1">
        <v>2018</v>
      </c>
      <c r="E231" t="s">
        <v>26</v>
      </c>
      <c r="F231" t="s">
        <v>27</v>
      </c>
      <c r="G231" t="s">
        <v>55</v>
      </c>
      <c r="H231" t="s">
        <v>29</v>
      </c>
      <c r="I231" s="1" t="s">
        <v>45</v>
      </c>
      <c r="J231" s="1">
        <v>0.75</v>
      </c>
      <c r="K231" s="7">
        <v>642.9</v>
      </c>
      <c r="L231">
        <v>96</v>
      </c>
      <c r="M231" s="7">
        <f>Tabell1[[#This Row],[Salgspris]]*Tabell1[[#This Row],[Totalt antall]]</f>
        <v>61718.399999999994</v>
      </c>
      <c r="N231">
        <v>30</v>
      </c>
      <c r="O231">
        <v>12</v>
      </c>
      <c r="P231">
        <v>6</v>
      </c>
      <c r="Q231">
        <v>12</v>
      </c>
      <c r="S231">
        <v>6</v>
      </c>
      <c r="T231">
        <v>6</v>
      </c>
      <c r="U231">
        <v>12</v>
      </c>
      <c r="V231">
        <v>12</v>
      </c>
      <c r="X231"/>
      <c r="Y231" s="3"/>
    </row>
    <row r="232" spans="1:25" ht="32.1" customHeight="1" x14ac:dyDescent="0.25">
      <c r="A232" s="1">
        <v>12731301</v>
      </c>
      <c r="B232" t="s">
        <v>246</v>
      </c>
      <c r="C232" t="s">
        <v>247</v>
      </c>
      <c r="D232" s="1">
        <v>2018</v>
      </c>
      <c r="E232" t="s">
        <v>26</v>
      </c>
      <c r="F232" t="s">
        <v>27</v>
      </c>
      <c r="G232" t="s">
        <v>55</v>
      </c>
      <c r="H232" t="s">
        <v>29</v>
      </c>
      <c r="I232" s="1" t="s">
        <v>45</v>
      </c>
      <c r="J232" s="1">
        <v>0.75</v>
      </c>
      <c r="K232" s="7">
        <v>854.3</v>
      </c>
      <c r="L232">
        <v>60</v>
      </c>
      <c r="M232" s="7">
        <f>Tabell1[[#This Row],[Salgspris]]*Tabell1[[#This Row],[Totalt antall]]</f>
        <v>51258</v>
      </c>
      <c r="N232">
        <v>24</v>
      </c>
      <c r="O232">
        <v>6</v>
      </c>
      <c r="Q232">
        <v>6</v>
      </c>
      <c r="S232">
        <v>6</v>
      </c>
      <c r="T232">
        <v>6</v>
      </c>
      <c r="U232">
        <v>6</v>
      </c>
      <c r="V232">
        <v>6</v>
      </c>
      <c r="X232"/>
      <c r="Y232" s="3"/>
    </row>
    <row r="233" spans="1:25" ht="32.1" customHeight="1" x14ac:dyDescent="0.25">
      <c r="A233" s="1">
        <v>12731101</v>
      </c>
      <c r="B233" t="s">
        <v>246</v>
      </c>
      <c r="C233" t="s">
        <v>57</v>
      </c>
      <c r="D233" s="1">
        <v>2018</v>
      </c>
      <c r="E233" t="s">
        <v>26</v>
      </c>
      <c r="F233" t="s">
        <v>27</v>
      </c>
      <c r="G233" t="s">
        <v>57</v>
      </c>
      <c r="I233" s="1" t="s">
        <v>45</v>
      </c>
      <c r="J233" s="1">
        <v>0.75</v>
      </c>
      <c r="K233" s="7">
        <v>644.29999999999995</v>
      </c>
      <c r="L233">
        <v>168</v>
      </c>
      <c r="M233" s="7">
        <f>Tabell1[[#This Row],[Salgspris]]*Tabell1[[#This Row],[Totalt antall]]</f>
        <v>108242.4</v>
      </c>
      <c r="N233">
        <v>24</v>
      </c>
      <c r="O233">
        <v>24</v>
      </c>
      <c r="P233">
        <v>12</v>
      </c>
      <c r="Q233">
        <v>24</v>
      </c>
      <c r="R233">
        <v>6</v>
      </c>
      <c r="S233">
        <v>6</v>
      </c>
      <c r="T233">
        <v>24</v>
      </c>
      <c r="U233">
        <v>12</v>
      </c>
      <c r="V233">
        <v>24</v>
      </c>
      <c r="W233">
        <v>6</v>
      </c>
      <c r="X233">
        <v>6</v>
      </c>
      <c r="Y233" s="3"/>
    </row>
    <row r="234" spans="1:25" ht="32.1" customHeight="1" x14ac:dyDescent="0.25">
      <c r="A234" s="1">
        <v>12731201</v>
      </c>
      <c r="B234" t="s">
        <v>246</v>
      </c>
      <c r="C234" t="s">
        <v>95</v>
      </c>
      <c r="D234" s="1">
        <v>2018</v>
      </c>
      <c r="E234" t="s">
        <v>26</v>
      </c>
      <c r="F234" t="s">
        <v>27</v>
      </c>
      <c r="G234" t="s">
        <v>57</v>
      </c>
      <c r="H234" t="s">
        <v>29</v>
      </c>
      <c r="I234" s="1" t="s">
        <v>45</v>
      </c>
      <c r="J234" s="1">
        <v>0.75</v>
      </c>
      <c r="K234" s="7">
        <v>904.3</v>
      </c>
      <c r="L234">
        <v>60</v>
      </c>
      <c r="M234" s="7">
        <f>Tabell1[[#This Row],[Salgspris]]*Tabell1[[#This Row],[Totalt antall]]</f>
        <v>54258</v>
      </c>
      <c r="N234">
        <v>24</v>
      </c>
      <c r="O234">
        <v>6</v>
      </c>
      <c r="P234">
        <v>6</v>
      </c>
      <c r="Q234">
        <v>6</v>
      </c>
      <c r="R234">
        <v>6</v>
      </c>
      <c r="U234">
        <v>6</v>
      </c>
      <c r="V234">
        <v>6</v>
      </c>
      <c r="X234"/>
      <c r="Y234" s="3"/>
    </row>
    <row r="235" spans="1:25" ht="32.1" customHeight="1" x14ac:dyDescent="0.25">
      <c r="A235" s="1">
        <v>12731001</v>
      </c>
      <c r="B235" t="s">
        <v>246</v>
      </c>
      <c r="C235" t="s">
        <v>248</v>
      </c>
      <c r="D235" s="1">
        <v>2018</v>
      </c>
      <c r="E235" t="s">
        <v>26</v>
      </c>
      <c r="F235" t="s">
        <v>27</v>
      </c>
      <c r="I235" s="1" t="s">
        <v>45</v>
      </c>
      <c r="J235" s="1">
        <v>0.75</v>
      </c>
      <c r="K235" s="7">
        <v>449.3</v>
      </c>
      <c r="L235">
        <v>240</v>
      </c>
      <c r="M235" s="7">
        <f>Tabell1[[#This Row],[Salgspris]]*Tabell1[[#This Row],[Totalt antall]]</f>
        <v>107832</v>
      </c>
      <c r="N235">
        <v>24</v>
      </c>
      <c r="O235">
        <v>24</v>
      </c>
      <c r="P235">
        <v>12</v>
      </c>
      <c r="Q235">
        <v>24</v>
      </c>
      <c r="R235">
        <v>12</v>
      </c>
      <c r="S235">
        <v>12</v>
      </c>
      <c r="T235">
        <v>24</v>
      </c>
      <c r="U235">
        <v>48</v>
      </c>
      <c r="V235">
        <v>36</v>
      </c>
      <c r="W235">
        <v>12</v>
      </c>
      <c r="X235">
        <v>12</v>
      </c>
      <c r="Y235" s="3"/>
    </row>
    <row r="236" spans="1:25" ht="32.1" customHeight="1" x14ac:dyDescent="0.25">
      <c r="A236" s="1">
        <v>12731501</v>
      </c>
      <c r="B236" t="s">
        <v>246</v>
      </c>
      <c r="C236" t="s">
        <v>249</v>
      </c>
      <c r="D236" s="1">
        <v>2018</v>
      </c>
      <c r="E236" t="s">
        <v>26</v>
      </c>
      <c r="F236" t="s">
        <v>27</v>
      </c>
      <c r="G236" t="s">
        <v>123</v>
      </c>
      <c r="H236" t="s">
        <v>29</v>
      </c>
      <c r="I236" s="1" t="s">
        <v>30</v>
      </c>
      <c r="J236" s="1">
        <v>0.75</v>
      </c>
      <c r="K236" s="7">
        <v>744.3</v>
      </c>
      <c r="L236">
        <v>36</v>
      </c>
      <c r="M236" s="7">
        <f>Tabell1[[#This Row],[Salgspris]]*Tabell1[[#This Row],[Totalt antall]]</f>
        <v>26794.799999999999</v>
      </c>
      <c r="N236">
        <v>18</v>
      </c>
      <c r="S236">
        <v>6</v>
      </c>
      <c r="T236">
        <v>6</v>
      </c>
      <c r="V236">
        <v>6</v>
      </c>
      <c r="X236"/>
      <c r="Y236" s="3"/>
    </row>
    <row r="237" spans="1:25" ht="32.1" customHeight="1" x14ac:dyDescent="0.25">
      <c r="A237" s="1">
        <v>12731401</v>
      </c>
      <c r="B237" t="s">
        <v>246</v>
      </c>
      <c r="C237" t="s">
        <v>250</v>
      </c>
      <c r="D237" s="1">
        <v>2018</v>
      </c>
      <c r="E237" t="s">
        <v>26</v>
      </c>
      <c r="F237" t="s">
        <v>27</v>
      </c>
      <c r="G237" t="s">
        <v>57</v>
      </c>
      <c r="I237" s="1" t="s">
        <v>30</v>
      </c>
      <c r="J237" s="1">
        <v>0.75</v>
      </c>
      <c r="K237" s="7">
        <v>744.3</v>
      </c>
      <c r="L237">
        <v>48</v>
      </c>
      <c r="M237" s="7">
        <f>Tabell1[[#This Row],[Salgspris]]*Tabell1[[#This Row],[Totalt antall]]</f>
        <v>35726.399999999994</v>
      </c>
      <c r="N237">
        <v>24</v>
      </c>
      <c r="O237">
        <v>6</v>
      </c>
      <c r="P237">
        <v>6</v>
      </c>
      <c r="Q237">
        <v>6</v>
      </c>
      <c r="R237">
        <v>6</v>
      </c>
      <c r="X237"/>
      <c r="Y237" s="3"/>
    </row>
    <row r="238" spans="1:25" ht="32.1" customHeight="1" x14ac:dyDescent="0.25">
      <c r="A238" s="1">
        <v>12776201</v>
      </c>
      <c r="B238" t="s">
        <v>251</v>
      </c>
      <c r="C238" t="s">
        <v>235</v>
      </c>
      <c r="D238" s="1">
        <v>2018</v>
      </c>
      <c r="E238" t="s">
        <v>26</v>
      </c>
      <c r="F238" t="s">
        <v>27</v>
      </c>
      <c r="G238" t="s">
        <v>55</v>
      </c>
      <c r="H238" t="s">
        <v>29</v>
      </c>
      <c r="I238" s="1" t="s">
        <v>45</v>
      </c>
      <c r="J238" s="1">
        <v>0.75</v>
      </c>
      <c r="K238" s="7">
        <v>920.5</v>
      </c>
      <c r="L238">
        <v>60</v>
      </c>
      <c r="M238" s="7">
        <f>Tabell1[[#This Row],[Salgspris]]*Tabell1[[#This Row],[Totalt antall]]</f>
        <v>55230</v>
      </c>
      <c r="N238">
        <v>24</v>
      </c>
      <c r="O238">
        <v>6</v>
      </c>
      <c r="P238">
        <v>3</v>
      </c>
      <c r="Q238">
        <v>6</v>
      </c>
      <c r="R238">
        <v>3</v>
      </c>
      <c r="S238">
        <v>3</v>
      </c>
      <c r="T238">
        <v>3</v>
      </c>
      <c r="U238">
        <v>9</v>
      </c>
      <c r="V238">
        <v>3</v>
      </c>
      <c r="X238"/>
      <c r="Y238" s="3"/>
    </row>
    <row r="239" spans="1:25" ht="32.1" customHeight="1" x14ac:dyDescent="0.25">
      <c r="A239" s="1">
        <v>12776001</v>
      </c>
      <c r="B239" t="s">
        <v>251</v>
      </c>
      <c r="C239" t="s">
        <v>103</v>
      </c>
      <c r="D239" s="1">
        <v>2018</v>
      </c>
      <c r="E239" t="s">
        <v>26</v>
      </c>
      <c r="F239" t="s">
        <v>27</v>
      </c>
      <c r="G239" t="s">
        <v>99</v>
      </c>
      <c r="H239" t="s">
        <v>29</v>
      </c>
      <c r="I239" s="1" t="s">
        <v>45</v>
      </c>
      <c r="J239" s="1">
        <v>0.75</v>
      </c>
      <c r="K239" s="7">
        <v>1389.4</v>
      </c>
      <c r="L239">
        <v>60</v>
      </c>
      <c r="M239" s="7">
        <f>Tabell1[[#This Row],[Salgspris]]*Tabell1[[#This Row],[Totalt antall]]</f>
        <v>83364</v>
      </c>
      <c r="N239">
        <v>24</v>
      </c>
      <c r="O239">
        <v>6</v>
      </c>
      <c r="P239">
        <v>3</v>
      </c>
      <c r="Q239">
        <v>6</v>
      </c>
      <c r="R239">
        <v>3</v>
      </c>
      <c r="S239">
        <v>3</v>
      </c>
      <c r="T239">
        <v>3</v>
      </c>
      <c r="U239">
        <v>9</v>
      </c>
      <c r="V239">
        <v>3</v>
      </c>
      <c r="X239"/>
      <c r="Y239" s="3"/>
    </row>
    <row r="240" spans="1:25" ht="32.1" customHeight="1" x14ac:dyDescent="0.25">
      <c r="A240" s="1">
        <v>12747601</v>
      </c>
      <c r="B240" t="s">
        <v>252</v>
      </c>
      <c r="C240" t="s">
        <v>112</v>
      </c>
      <c r="D240" s="1">
        <v>2018</v>
      </c>
      <c r="E240" t="s">
        <v>26</v>
      </c>
      <c r="F240" t="s">
        <v>27</v>
      </c>
      <c r="G240" t="s">
        <v>112</v>
      </c>
      <c r="I240" s="1" t="s">
        <v>45</v>
      </c>
      <c r="J240" s="1">
        <v>0.75</v>
      </c>
      <c r="K240" s="7">
        <v>430.2</v>
      </c>
      <c r="L240">
        <v>180</v>
      </c>
      <c r="M240" s="7">
        <f>Tabell1[[#This Row],[Salgspris]]*Tabell1[[#This Row],[Totalt antall]]</f>
        <v>77436</v>
      </c>
      <c r="N240">
        <v>60</v>
      </c>
      <c r="O240">
        <v>18</v>
      </c>
      <c r="P240">
        <v>12</v>
      </c>
      <c r="Q240">
        <v>18</v>
      </c>
      <c r="R240">
        <v>12</v>
      </c>
      <c r="S240">
        <v>12</v>
      </c>
      <c r="T240">
        <v>12</v>
      </c>
      <c r="U240">
        <v>18</v>
      </c>
      <c r="V240">
        <v>6</v>
      </c>
      <c r="W240">
        <v>6</v>
      </c>
      <c r="X240">
        <v>6</v>
      </c>
      <c r="Y240" s="3"/>
    </row>
    <row r="241" spans="1:25" ht="32.1" customHeight="1" x14ac:dyDescent="0.25">
      <c r="A241" s="1">
        <v>12747401</v>
      </c>
      <c r="B241" t="s">
        <v>252</v>
      </c>
      <c r="C241" t="s">
        <v>253</v>
      </c>
      <c r="D241" s="1">
        <v>2018</v>
      </c>
      <c r="E241" t="s">
        <v>26</v>
      </c>
      <c r="F241" t="s">
        <v>27</v>
      </c>
      <c r="G241" t="s">
        <v>254</v>
      </c>
      <c r="I241" s="1" t="s">
        <v>45</v>
      </c>
      <c r="J241" s="1">
        <v>0.75</v>
      </c>
      <c r="K241" s="7">
        <v>450.3</v>
      </c>
      <c r="L241">
        <v>84</v>
      </c>
      <c r="M241" s="7">
        <f>Tabell1[[#This Row],[Salgspris]]*Tabell1[[#This Row],[Totalt antall]]</f>
        <v>37825.200000000004</v>
      </c>
      <c r="N241">
        <v>24</v>
      </c>
      <c r="O241">
        <v>12</v>
      </c>
      <c r="P241">
        <v>6</v>
      </c>
      <c r="Q241">
        <v>12</v>
      </c>
      <c r="R241">
        <v>6</v>
      </c>
      <c r="S241">
        <v>6</v>
      </c>
      <c r="T241">
        <v>12</v>
      </c>
      <c r="U241">
        <v>6</v>
      </c>
      <c r="X241"/>
      <c r="Y241" s="3"/>
    </row>
    <row r="242" spans="1:25" ht="32.1" customHeight="1" x14ac:dyDescent="0.25">
      <c r="A242" s="1">
        <v>12747501</v>
      </c>
      <c r="B242" t="s">
        <v>252</v>
      </c>
      <c r="C242" t="s">
        <v>226</v>
      </c>
      <c r="D242" s="1">
        <v>2018</v>
      </c>
      <c r="E242" t="s">
        <v>26</v>
      </c>
      <c r="F242" t="s">
        <v>27</v>
      </c>
      <c r="G242" t="s">
        <v>35</v>
      </c>
      <c r="H242" t="s">
        <v>29</v>
      </c>
      <c r="I242" s="1" t="s">
        <v>30</v>
      </c>
      <c r="J242" s="1">
        <v>0.75</v>
      </c>
      <c r="K242" s="7">
        <v>1069.4000000000001</v>
      </c>
      <c r="L242">
        <v>24</v>
      </c>
      <c r="M242" s="7">
        <f>Tabell1[[#This Row],[Salgspris]]*Tabell1[[#This Row],[Totalt antall]]</f>
        <v>25665.600000000002</v>
      </c>
      <c r="N242">
        <v>12</v>
      </c>
      <c r="O242">
        <v>3</v>
      </c>
      <c r="Q242">
        <v>3</v>
      </c>
      <c r="U242">
        <v>3</v>
      </c>
      <c r="V242">
        <v>3</v>
      </c>
      <c r="X242"/>
      <c r="Y242" s="3"/>
    </row>
    <row r="243" spans="1:25" ht="32.1" customHeight="1" x14ac:dyDescent="0.25">
      <c r="A243" s="1">
        <v>12747701</v>
      </c>
      <c r="B243" t="s">
        <v>252</v>
      </c>
      <c r="C243" t="s">
        <v>255</v>
      </c>
      <c r="D243" s="1">
        <v>2018</v>
      </c>
      <c r="E243" t="s">
        <v>26</v>
      </c>
      <c r="F243" t="s">
        <v>27</v>
      </c>
      <c r="G243" t="s">
        <v>256</v>
      </c>
      <c r="H243" t="s">
        <v>29</v>
      </c>
      <c r="I243" s="1" t="s">
        <v>30</v>
      </c>
      <c r="J243" s="1">
        <v>0.75</v>
      </c>
      <c r="K243" s="7">
        <v>500.2</v>
      </c>
      <c r="L243">
        <v>120</v>
      </c>
      <c r="M243" s="7">
        <f>Tabell1[[#This Row],[Salgspris]]*Tabell1[[#This Row],[Totalt antall]]</f>
        <v>60024</v>
      </c>
      <c r="N243">
        <v>36</v>
      </c>
      <c r="O243">
        <v>12</v>
      </c>
      <c r="P243">
        <v>12</v>
      </c>
      <c r="Q243">
        <v>12</v>
      </c>
      <c r="R243">
        <v>6</v>
      </c>
      <c r="S243">
        <v>12</v>
      </c>
      <c r="T243">
        <v>12</v>
      </c>
      <c r="U243">
        <v>12</v>
      </c>
      <c r="V243">
        <v>6</v>
      </c>
      <c r="X243"/>
      <c r="Y243" s="3"/>
    </row>
    <row r="244" spans="1:25" ht="32.1" customHeight="1" x14ac:dyDescent="0.25">
      <c r="A244" s="1">
        <v>12747801</v>
      </c>
      <c r="B244" t="s">
        <v>252</v>
      </c>
      <c r="C244" t="s">
        <v>257</v>
      </c>
      <c r="D244" s="1">
        <v>2018</v>
      </c>
      <c r="E244" t="s">
        <v>26</v>
      </c>
      <c r="F244" t="s">
        <v>27</v>
      </c>
      <c r="G244" t="s">
        <v>74</v>
      </c>
      <c r="I244" s="1" t="s">
        <v>30</v>
      </c>
      <c r="J244" s="1">
        <v>0.75</v>
      </c>
      <c r="K244" s="7">
        <v>777.7</v>
      </c>
      <c r="L244">
        <v>120</v>
      </c>
      <c r="M244" s="7">
        <f>Tabell1[[#This Row],[Salgspris]]*Tabell1[[#This Row],[Totalt antall]]</f>
        <v>93324</v>
      </c>
      <c r="N244">
        <v>36</v>
      </c>
      <c r="O244">
        <v>12</v>
      </c>
      <c r="P244">
        <v>12</v>
      </c>
      <c r="Q244">
        <v>12</v>
      </c>
      <c r="R244">
        <v>6</v>
      </c>
      <c r="S244">
        <v>12</v>
      </c>
      <c r="T244">
        <v>12</v>
      </c>
      <c r="U244">
        <v>12</v>
      </c>
      <c r="V244">
        <v>6</v>
      </c>
      <c r="X244"/>
      <c r="Y244" s="3"/>
    </row>
    <row r="245" spans="1:25" ht="32.1" customHeight="1" x14ac:dyDescent="0.25">
      <c r="A245" s="1">
        <v>12747301</v>
      </c>
      <c r="B245" t="s">
        <v>252</v>
      </c>
      <c r="C245" t="s">
        <v>146</v>
      </c>
      <c r="D245" s="1">
        <v>2018</v>
      </c>
      <c r="E245" t="s">
        <v>26</v>
      </c>
      <c r="F245" t="s">
        <v>27</v>
      </c>
      <c r="G245" t="s">
        <v>77</v>
      </c>
      <c r="H245" t="s">
        <v>38</v>
      </c>
      <c r="I245" s="1" t="s">
        <v>30</v>
      </c>
      <c r="J245" s="1">
        <v>0.75</v>
      </c>
      <c r="K245" s="7">
        <v>1780.7</v>
      </c>
      <c r="L245">
        <v>24</v>
      </c>
      <c r="M245" s="7">
        <f>Tabell1[[#This Row],[Salgspris]]*Tabell1[[#This Row],[Totalt antall]]</f>
        <v>42736.800000000003</v>
      </c>
      <c r="N245">
        <v>12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X245"/>
      <c r="Y245" s="3"/>
    </row>
    <row r="246" spans="1:25" ht="32.1" customHeight="1" x14ac:dyDescent="0.25">
      <c r="A246" s="1">
        <v>12727601</v>
      </c>
      <c r="B246" t="s">
        <v>258</v>
      </c>
      <c r="C246" t="s">
        <v>259</v>
      </c>
      <c r="D246" s="1">
        <v>2018</v>
      </c>
      <c r="E246" t="s">
        <v>26</v>
      </c>
      <c r="F246" t="s">
        <v>27</v>
      </c>
      <c r="G246" t="s">
        <v>42</v>
      </c>
      <c r="I246" s="1" t="s">
        <v>30</v>
      </c>
      <c r="J246" s="1">
        <v>0.75</v>
      </c>
      <c r="K246" s="7">
        <v>599.29999999999995</v>
      </c>
      <c r="L246">
        <v>48</v>
      </c>
      <c r="M246" s="7">
        <f>Tabell1[[#This Row],[Salgspris]]*Tabell1[[#This Row],[Totalt antall]]</f>
        <v>28766.399999999998</v>
      </c>
      <c r="N246">
        <v>24</v>
      </c>
      <c r="O246">
        <v>6</v>
      </c>
      <c r="Q246">
        <v>6</v>
      </c>
      <c r="U246">
        <v>6</v>
      </c>
      <c r="V246">
        <v>6</v>
      </c>
      <c r="X246"/>
      <c r="Y246" s="3"/>
    </row>
    <row r="247" spans="1:25" ht="32.1" customHeight="1" x14ac:dyDescent="0.25">
      <c r="A247" s="1">
        <v>12728101</v>
      </c>
      <c r="B247" t="s">
        <v>258</v>
      </c>
      <c r="C247" t="s">
        <v>184</v>
      </c>
      <c r="D247" s="1">
        <v>2018</v>
      </c>
      <c r="E247" t="s">
        <v>26</v>
      </c>
      <c r="F247" t="s">
        <v>27</v>
      </c>
      <c r="G247" t="s">
        <v>42</v>
      </c>
      <c r="H247" t="s">
        <v>29</v>
      </c>
      <c r="I247" s="1" t="s">
        <v>30</v>
      </c>
      <c r="J247" s="1">
        <v>0.75</v>
      </c>
      <c r="K247" s="7">
        <v>854.3</v>
      </c>
      <c r="L247">
        <v>24</v>
      </c>
      <c r="M247" s="7">
        <f>Tabell1[[#This Row],[Salgspris]]*Tabell1[[#This Row],[Totalt antall]]</f>
        <v>20503.199999999997</v>
      </c>
      <c r="N247">
        <v>12</v>
      </c>
      <c r="U247">
        <v>12</v>
      </c>
      <c r="X247"/>
      <c r="Y247" s="3"/>
    </row>
    <row r="248" spans="1:25" ht="32.1" customHeight="1" x14ac:dyDescent="0.25">
      <c r="A248" s="1">
        <v>12728201</v>
      </c>
      <c r="B248" t="s">
        <v>258</v>
      </c>
      <c r="C248" t="s">
        <v>260</v>
      </c>
      <c r="D248" s="1">
        <v>2018</v>
      </c>
      <c r="E248" t="s">
        <v>26</v>
      </c>
      <c r="F248" t="s">
        <v>27</v>
      </c>
      <c r="G248" t="s">
        <v>42</v>
      </c>
      <c r="H248" t="s">
        <v>29</v>
      </c>
      <c r="I248" s="1" t="s">
        <v>30</v>
      </c>
      <c r="J248" s="1">
        <v>0.75</v>
      </c>
      <c r="K248" s="7">
        <v>789.3</v>
      </c>
      <c r="L248">
        <v>24</v>
      </c>
      <c r="M248" s="7">
        <f>Tabell1[[#This Row],[Salgspris]]*Tabell1[[#This Row],[Totalt antall]]</f>
        <v>18943.199999999997</v>
      </c>
      <c r="N248">
        <v>12</v>
      </c>
      <c r="U248">
        <v>12</v>
      </c>
      <c r="X248"/>
      <c r="Y248" s="3"/>
    </row>
    <row r="249" spans="1:25" ht="32.1" customHeight="1" x14ac:dyDescent="0.25">
      <c r="A249" s="1">
        <v>12727501</v>
      </c>
      <c r="B249" t="s">
        <v>258</v>
      </c>
      <c r="C249" t="s">
        <v>261</v>
      </c>
      <c r="D249" s="1">
        <v>2018</v>
      </c>
      <c r="E249" t="s">
        <v>26</v>
      </c>
      <c r="F249" t="s">
        <v>27</v>
      </c>
      <c r="G249" t="s">
        <v>28</v>
      </c>
      <c r="I249" s="1" t="s">
        <v>30</v>
      </c>
      <c r="J249" s="1">
        <v>0.75</v>
      </c>
      <c r="K249" s="7">
        <v>539.29999999999995</v>
      </c>
      <c r="L249">
        <v>96</v>
      </c>
      <c r="M249" s="7">
        <f>Tabell1[[#This Row],[Salgspris]]*Tabell1[[#This Row],[Totalt antall]]</f>
        <v>51772.799999999996</v>
      </c>
      <c r="N249">
        <v>24</v>
      </c>
      <c r="O249">
        <v>6</v>
      </c>
      <c r="P249">
        <v>6</v>
      </c>
      <c r="Q249">
        <v>6</v>
      </c>
      <c r="R249">
        <v>6</v>
      </c>
      <c r="S249">
        <v>6</v>
      </c>
      <c r="T249">
        <v>6</v>
      </c>
      <c r="U249">
        <v>30</v>
      </c>
      <c r="V249">
        <v>6</v>
      </c>
      <c r="X249"/>
      <c r="Y249" s="3"/>
    </row>
    <row r="250" spans="1:25" ht="32.1" customHeight="1" x14ac:dyDescent="0.25">
      <c r="A250" s="1">
        <v>12727801</v>
      </c>
      <c r="B250" t="s">
        <v>258</v>
      </c>
      <c r="C250" t="s">
        <v>262</v>
      </c>
      <c r="D250" s="1">
        <v>2018</v>
      </c>
      <c r="E250" t="s">
        <v>26</v>
      </c>
      <c r="F250" t="s">
        <v>27</v>
      </c>
      <c r="G250" t="s">
        <v>28</v>
      </c>
      <c r="H250" t="s">
        <v>29</v>
      </c>
      <c r="I250" s="1" t="s">
        <v>30</v>
      </c>
      <c r="J250" s="1">
        <v>0.75</v>
      </c>
      <c r="K250" s="7">
        <v>654.29999999999995</v>
      </c>
      <c r="L250">
        <v>96</v>
      </c>
      <c r="M250" s="7">
        <f>Tabell1[[#This Row],[Salgspris]]*Tabell1[[#This Row],[Totalt antall]]</f>
        <v>62812.799999999996</v>
      </c>
      <c r="N250">
        <v>30</v>
      </c>
      <c r="O250">
        <v>6</v>
      </c>
      <c r="P250">
        <v>6</v>
      </c>
      <c r="Q250">
        <v>6</v>
      </c>
      <c r="R250">
        <v>6</v>
      </c>
      <c r="S250">
        <v>6</v>
      </c>
      <c r="T250">
        <v>6</v>
      </c>
      <c r="U250">
        <v>24</v>
      </c>
      <c r="V250">
        <v>6</v>
      </c>
      <c r="X250"/>
      <c r="Y250" s="3"/>
    </row>
    <row r="251" spans="1:25" ht="32.1" customHeight="1" x14ac:dyDescent="0.25">
      <c r="A251" s="1">
        <v>12728001</v>
      </c>
      <c r="B251" t="s">
        <v>258</v>
      </c>
      <c r="C251" t="s">
        <v>25</v>
      </c>
      <c r="D251" s="1">
        <v>2018</v>
      </c>
      <c r="E251" t="s">
        <v>26</v>
      </c>
      <c r="F251" t="s">
        <v>27</v>
      </c>
      <c r="G251" t="s">
        <v>28</v>
      </c>
      <c r="H251" t="s">
        <v>29</v>
      </c>
      <c r="I251" s="1" t="s">
        <v>30</v>
      </c>
      <c r="J251" s="1">
        <v>0.75</v>
      </c>
      <c r="K251" s="7">
        <v>854.3</v>
      </c>
      <c r="L251">
        <v>24</v>
      </c>
      <c r="M251" s="7">
        <f>Tabell1[[#This Row],[Salgspris]]*Tabell1[[#This Row],[Totalt antall]]</f>
        <v>20503.199999999997</v>
      </c>
      <c r="N251">
        <v>12</v>
      </c>
      <c r="U251">
        <v>12</v>
      </c>
      <c r="X251"/>
      <c r="Y251" s="3"/>
    </row>
    <row r="252" spans="1:25" ht="32.1" customHeight="1" x14ac:dyDescent="0.25">
      <c r="A252" s="1">
        <v>12727701</v>
      </c>
      <c r="B252" t="s">
        <v>258</v>
      </c>
      <c r="C252" t="s">
        <v>263</v>
      </c>
      <c r="D252" s="1">
        <v>2018</v>
      </c>
      <c r="E252" t="s">
        <v>26</v>
      </c>
      <c r="F252" t="s">
        <v>27</v>
      </c>
      <c r="G252" t="s">
        <v>28</v>
      </c>
      <c r="H252" t="s">
        <v>29</v>
      </c>
      <c r="I252" s="1" t="s">
        <v>30</v>
      </c>
      <c r="J252" s="1">
        <v>0.75</v>
      </c>
      <c r="K252" s="7">
        <v>789.3</v>
      </c>
      <c r="L252">
        <v>72</v>
      </c>
      <c r="M252" s="7">
        <f>Tabell1[[#This Row],[Salgspris]]*Tabell1[[#This Row],[Totalt antall]]</f>
        <v>56829.599999999999</v>
      </c>
      <c r="N252">
        <v>30</v>
      </c>
      <c r="O252">
        <v>6</v>
      </c>
      <c r="P252">
        <v>6</v>
      </c>
      <c r="Q252">
        <v>6</v>
      </c>
      <c r="T252">
        <v>6</v>
      </c>
      <c r="U252">
        <v>12</v>
      </c>
      <c r="V252">
        <v>6</v>
      </c>
      <c r="X252"/>
      <c r="Y252" s="3"/>
    </row>
    <row r="253" spans="1:25" ht="32.1" customHeight="1" x14ac:dyDescent="0.25">
      <c r="A253" s="1">
        <v>12727901</v>
      </c>
      <c r="B253" t="s">
        <v>258</v>
      </c>
      <c r="C253" t="s">
        <v>189</v>
      </c>
      <c r="D253" s="1">
        <v>2018</v>
      </c>
      <c r="E253" t="s">
        <v>26</v>
      </c>
      <c r="F253" t="s">
        <v>27</v>
      </c>
      <c r="G253" t="s">
        <v>28</v>
      </c>
      <c r="H253" t="s">
        <v>29</v>
      </c>
      <c r="I253" s="1" t="s">
        <v>30</v>
      </c>
      <c r="J253" s="1">
        <v>0.75</v>
      </c>
      <c r="K253" s="7">
        <v>739.3</v>
      </c>
      <c r="L253">
        <v>84</v>
      </c>
      <c r="M253" s="7">
        <f>Tabell1[[#This Row],[Salgspris]]*Tabell1[[#This Row],[Totalt antall]]</f>
        <v>62101.2</v>
      </c>
      <c r="N253">
        <v>24</v>
      </c>
      <c r="O253">
        <v>6</v>
      </c>
      <c r="P253">
        <v>6</v>
      </c>
      <c r="Q253">
        <v>6</v>
      </c>
      <c r="R253">
        <v>6</v>
      </c>
      <c r="S253">
        <v>6</v>
      </c>
      <c r="T253">
        <v>6</v>
      </c>
      <c r="U253">
        <v>24</v>
      </c>
      <c r="X253"/>
      <c r="Y253" s="3"/>
    </row>
    <row r="254" spans="1:25" ht="32.1" customHeight="1" x14ac:dyDescent="0.25">
      <c r="A254" s="1">
        <v>12727401</v>
      </c>
      <c r="B254" t="s">
        <v>258</v>
      </c>
      <c r="C254" t="s">
        <v>52</v>
      </c>
      <c r="D254" s="1">
        <v>2018</v>
      </c>
      <c r="E254" t="s">
        <v>26</v>
      </c>
      <c r="F254" t="s">
        <v>27</v>
      </c>
      <c r="I254" s="1" t="s">
        <v>30</v>
      </c>
      <c r="J254" s="1">
        <v>0.75</v>
      </c>
      <c r="K254" s="7">
        <v>374.3</v>
      </c>
      <c r="L254">
        <v>120</v>
      </c>
      <c r="M254" s="7">
        <f>Tabell1[[#This Row],[Salgspris]]*Tabell1[[#This Row],[Totalt antall]]</f>
        <v>44916</v>
      </c>
      <c r="N254">
        <v>18</v>
      </c>
      <c r="O254">
        <v>12</v>
      </c>
      <c r="P254">
        <v>12</v>
      </c>
      <c r="Q254">
        <v>12</v>
      </c>
      <c r="R254">
        <v>12</v>
      </c>
      <c r="S254">
        <v>12</v>
      </c>
      <c r="T254">
        <v>12</v>
      </c>
      <c r="U254">
        <v>18</v>
      </c>
      <c r="V254">
        <v>12</v>
      </c>
      <c r="X254"/>
      <c r="Y254" s="3"/>
    </row>
    <row r="255" spans="1:25" ht="32.1" customHeight="1" x14ac:dyDescent="0.25">
      <c r="A255" s="1">
        <v>12774101</v>
      </c>
      <c r="B255" t="s">
        <v>264</v>
      </c>
      <c r="C255" t="s">
        <v>265</v>
      </c>
      <c r="D255" s="1">
        <v>2018</v>
      </c>
      <c r="E255" t="s">
        <v>26</v>
      </c>
      <c r="F255" t="s">
        <v>27</v>
      </c>
      <c r="G255" t="s">
        <v>126</v>
      </c>
      <c r="H255" t="s">
        <v>29</v>
      </c>
      <c r="I255" s="1" t="s">
        <v>30</v>
      </c>
      <c r="J255" s="1">
        <v>0.75</v>
      </c>
      <c r="K255" s="7">
        <v>834.5</v>
      </c>
      <c r="L255">
        <v>60</v>
      </c>
      <c r="M255" s="7">
        <f>Tabell1[[#This Row],[Salgspris]]*Tabell1[[#This Row],[Totalt antall]]</f>
        <v>50070</v>
      </c>
      <c r="N255">
        <v>24</v>
      </c>
      <c r="O255">
        <v>6</v>
      </c>
      <c r="P255">
        <v>6</v>
      </c>
      <c r="Q255">
        <v>6</v>
      </c>
      <c r="R255">
        <v>6</v>
      </c>
      <c r="S255">
        <v>6</v>
      </c>
      <c r="T255">
        <v>6</v>
      </c>
      <c r="X255"/>
      <c r="Y255" s="3" t="s">
        <v>88</v>
      </c>
    </row>
    <row r="256" spans="1:25" ht="32.1" customHeight="1" x14ac:dyDescent="0.25">
      <c r="A256" s="1">
        <v>12773801</v>
      </c>
      <c r="B256" t="s">
        <v>264</v>
      </c>
      <c r="C256" t="s">
        <v>266</v>
      </c>
      <c r="D256" s="1">
        <v>2018</v>
      </c>
      <c r="E256" t="s">
        <v>26</v>
      </c>
      <c r="F256" t="s">
        <v>27</v>
      </c>
      <c r="G256" t="s">
        <v>126</v>
      </c>
      <c r="H256" t="s">
        <v>29</v>
      </c>
      <c r="I256" s="1" t="s">
        <v>30</v>
      </c>
      <c r="J256" s="1">
        <v>0.75</v>
      </c>
      <c r="K256" s="7">
        <v>1023.8</v>
      </c>
      <c r="L256">
        <v>36</v>
      </c>
      <c r="M256" s="7">
        <f>Tabell1[[#This Row],[Salgspris]]*Tabell1[[#This Row],[Totalt antall]]</f>
        <v>36856.799999999996</v>
      </c>
      <c r="N256">
        <v>18</v>
      </c>
      <c r="O256">
        <v>6</v>
      </c>
      <c r="Q256">
        <v>6</v>
      </c>
      <c r="U256">
        <v>3</v>
      </c>
      <c r="V256">
        <v>3</v>
      </c>
      <c r="X256"/>
      <c r="Y256" s="3" t="s">
        <v>88</v>
      </c>
    </row>
    <row r="257" spans="1:25" ht="32.1" customHeight="1" x14ac:dyDescent="0.25">
      <c r="A257" s="1">
        <v>12774801</v>
      </c>
      <c r="B257" t="s">
        <v>267</v>
      </c>
      <c r="C257" t="s">
        <v>222</v>
      </c>
      <c r="D257" s="1">
        <v>2018</v>
      </c>
      <c r="E257" t="s">
        <v>26</v>
      </c>
      <c r="F257" t="s">
        <v>27</v>
      </c>
      <c r="G257" t="s">
        <v>67</v>
      </c>
      <c r="I257" s="1" t="s">
        <v>30</v>
      </c>
      <c r="J257" s="1">
        <v>0.75</v>
      </c>
      <c r="K257" s="7">
        <v>952.1</v>
      </c>
      <c r="L257">
        <v>2</v>
      </c>
      <c r="M257" s="7">
        <f>Tabell1[[#This Row],[Salgspris]]*Tabell1[[#This Row],[Totalt antall]]</f>
        <v>1904.2</v>
      </c>
      <c r="N257">
        <v>2</v>
      </c>
      <c r="X257"/>
      <c r="Y257" s="3" t="s">
        <v>268</v>
      </c>
    </row>
    <row r="258" spans="1:25" ht="32.1" customHeight="1" x14ac:dyDescent="0.25">
      <c r="A258" s="1">
        <v>12775301</v>
      </c>
      <c r="B258" t="s">
        <v>267</v>
      </c>
      <c r="C258" t="s">
        <v>269</v>
      </c>
      <c r="D258" s="1">
        <v>2018</v>
      </c>
      <c r="E258" t="s">
        <v>26</v>
      </c>
      <c r="F258" t="s">
        <v>27</v>
      </c>
      <c r="G258" t="s">
        <v>74</v>
      </c>
      <c r="H258" t="s">
        <v>38</v>
      </c>
      <c r="I258" s="1" t="s">
        <v>30</v>
      </c>
      <c r="J258" s="1">
        <v>0.75</v>
      </c>
      <c r="K258" s="7">
        <v>4344.8999999999996</v>
      </c>
      <c r="L258">
        <v>12</v>
      </c>
      <c r="M258" s="7">
        <f>Tabell1[[#This Row],[Salgspris]]*Tabell1[[#This Row],[Totalt antall]]</f>
        <v>52138.799999999996</v>
      </c>
      <c r="N258">
        <v>5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X258"/>
      <c r="Y258" s="3" t="s">
        <v>268</v>
      </c>
    </row>
    <row r="259" spans="1:25" ht="32.1" customHeight="1" x14ac:dyDescent="0.25">
      <c r="A259" s="1">
        <v>12771401</v>
      </c>
      <c r="B259" t="s">
        <v>270</v>
      </c>
      <c r="C259" t="s">
        <v>271</v>
      </c>
      <c r="D259" s="1">
        <v>2018</v>
      </c>
      <c r="E259" t="s">
        <v>26</v>
      </c>
      <c r="F259" t="s">
        <v>27</v>
      </c>
      <c r="G259" t="s">
        <v>35</v>
      </c>
      <c r="I259" s="1" t="s">
        <v>30</v>
      </c>
      <c r="J259" s="1">
        <v>0.75</v>
      </c>
      <c r="K259" s="7">
        <v>760.6</v>
      </c>
      <c r="L259">
        <v>60</v>
      </c>
      <c r="M259" s="7">
        <f>Tabell1[[#This Row],[Salgspris]]*Tabell1[[#This Row],[Totalt antall]]</f>
        <v>45636</v>
      </c>
      <c r="N259">
        <v>24</v>
      </c>
      <c r="P259">
        <v>6</v>
      </c>
      <c r="R259">
        <v>6</v>
      </c>
      <c r="S259">
        <v>6</v>
      </c>
      <c r="T259">
        <v>6</v>
      </c>
      <c r="U259">
        <v>12</v>
      </c>
      <c r="X259"/>
      <c r="Y259" s="3"/>
    </row>
    <row r="260" spans="1:25" ht="32.1" customHeight="1" x14ac:dyDescent="0.25">
      <c r="A260" s="1">
        <v>12771501</v>
      </c>
      <c r="B260" t="s">
        <v>270</v>
      </c>
      <c r="C260" t="s">
        <v>272</v>
      </c>
      <c r="D260" s="1">
        <v>2018</v>
      </c>
      <c r="E260" t="s">
        <v>26</v>
      </c>
      <c r="F260" t="s">
        <v>27</v>
      </c>
      <c r="G260" t="s">
        <v>37</v>
      </c>
      <c r="H260" t="s">
        <v>29</v>
      </c>
      <c r="I260" s="1" t="s">
        <v>30</v>
      </c>
      <c r="J260" s="1">
        <v>0.75</v>
      </c>
      <c r="K260" s="7">
        <v>1020.6</v>
      </c>
      <c r="L260">
        <v>48</v>
      </c>
      <c r="M260" s="7">
        <f>Tabell1[[#This Row],[Salgspris]]*Tabell1[[#This Row],[Totalt antall]]</f>
        <v>48988.800000000003</v>
      </c>
      <c r="N260">
        <v>18</v>
      </c>
      <c r="O260">
        <v>6</v>
      </c>
      <c r="Q260">
        <v>6</v>
      </c>
      <c r="U260">
        <v>12</v>
      </c>
      <c r="V260">
        <v>6</v>
      </c>
      <c r="X260"/>
      <c r="Y260" s="3"/>
    </row>
    <row r="261" spans="1:25" ht="32.1" customHeight="1" x14ac:dyDescent="0.25">
      <c r="A261" s="1">
        <v>12736401</v>
      </c>
      <c r="B261" t="s">
        <v>273</v>
      </c>
      <c r="C261" t="s">
        <v>119</v>
      </c>
      <c r="D261" s="1">
        <v>2018</v>
      </c>
      <c r="E261" t="s">
        <v>26</v>
      </c>
      <c r="F261" t="s">
        <v>27</v>
      </c>
      <c r="G261" t="s">
        <v>120</v>
      </c>
      <c r="H261" t="s">
        <v>38</v>
      </c>
      <c r="I261" s="1" t="s">
        <v>45</v>
      </c>
      <c r="J261" s="1">
        <v>0.75</v>
      </c>
      <c r="K261" s="7">
        <v>1795.4</v>
      </c>
      <c r="L261">
        <v>120</v>
      </c>
      <c r="M261" s="7">
        <f>Tabell1[[#This Row],[Salgspris]]*Tabell1[[#This Row],[Totalt antall]]</f>
        <v>215448</v>
      </c>
      <c r="N261">
        <v>36</v>
      </c>
      <c r="O261">
        <v>12</v>
      </c>
      <c r="P261">
        <v>6</v>
      </c>
      <c r="Q261">
        <v>12</v>
      </c>
      <c r="R261">
        <v>12</v>
      </c>
      <c r="S261">
        <v>6</v>
      </c>
      <c r="T261">
        <v>12</v>
      </c>
      <c r="U261">
        <v>18</v>
      </c>
      <c r="V261">
        <v>6</v>
      </c>
      <c r="X261"/>
      <c r="Y261" s="3"/>
    </row>
    <row r="262" spans="1:25" ht="32.1" customHeight="1" x14ac:dyDescent="0.25">
      <c r="A262" s="1">
        <v>12736601</v>
      </c>
      <c r="B262" t="s">
        <v>273</v>
      </c>
      <c r="C262" t="s">
        <v>274</v>
      </c>
      <c r="D262" s="1">
        <v>2018</v>
      </c>
      <c r="E262" t="s">
        <v>26</v>
      </c>
      <c r="F262" t="s">
        <v>27</v>
      </c>
      <c r="G262" t="s">
        <v>55</v>
      </c>
      <c r="H262" t="s">
        <v>29</v>
      </c>
      <c r="I262" s="1" t="s">
        <v>45</v>
      </c>
      <c r="J262" s="1">
        <v>0.75</v>
      </c>
      <c r="K262" s="7">
        <v>795.4</v>
      </c>
      <c r="L262">
        <v>120</v>
      </c>
      <c r="M262" s="7">
        <f>Tabell1[[#This Row],[Salgspris]]*Tabell1[[#This Row],[Totalt antall]]</f>
        <v>95448</v>
      </c>
      <c r="N262">
        <v>36</v>
      </c>
      <c r="O262">
        <v>12</v>
      </c>
      <c r="P262">
        <v>12</v>
      </c>
      <c r="Q262">
        <v>12</v>
      </c>
      <c r="R262">
        <v>12</v>
      </c>
      <c r="S262">
        <v>6</v>
      </c>
      <c r="T262">
        <v>12</v>
      </c>
      <c r="U262">
        <v>18</v>
      </c>
      <c r="X262"/>
      <c r="Y262" s="3"/>
    </row>
    <row r="263" spans="1:25" ht="32.1" customHeight="1" x14ac:dyDescent="0.25">
      <c r="A263" s="1">
        <v>12734901</v>
      </c>
      <c r="B263" t="s">
        <v>273</v>
      </c>
      <c r="C263" t="s">
        <v>275</v>
      </c>
      <c r="D263" s="1">
        <v>2018</v>
      </c>
      <c r="E263" t="s">
        <v>26</v>
      </c>
      <c r="F263" t="s">
        <v>27</v>
      </c>
      <c r="G263" t="s">
        <v>120</v>
      </c>
      <c r="H263" t="s">
        <v>38</v>
      </c>
      <c r="I263" s="1" t="s">
        <v>30</v>
      </c>
      <c r="J263" s="1">
        <v>0.75</v>
      </c>
      <c r="K263" s="7">
        <v>995.2</v>
      </c>
      <c r="L263">
        <v>84</v>
      </c>
      <c r="M263" s="7">
        <f>Tabell1[[#This Row],[Salgspris]]*Tabell1[[#This Row],[Totalt antall]]</f>
        <v>83596.800000000003</v>
      </c>
      <c r="N263">
        <v>36</v>
      </c>
      <c r="O263">
        <v>6</v>
      </c>
      <c r="P263">
        <v>6</v>
      </c>
      <c r="Q263">
        <v>6</v>
      </c>
      <c r="R263">
        <v>6</v>
      </c>
      <c r="S263">
        <v>6</v>
      </c>
      <c r="T263">
        <v>6</v>
      </c>
      <c r="U263">
        <v>6</v>
      </c>
      <c r="V263">
        <v>6</v>
      </c>
      <c r="X263"/>
      <c r="Y263" s="3"/>
    </row>
    <row r="264" spans="1:25" ht="32.1" customHeight="1" x14ac:dyDescent="0.25">
      <c r="A264" s="1">
        <v>12735001</v>
      </c>
      <c r="B264" t="s">
        <v>273</v>
      </c>
      <c r="C264" t="s">
        <v>276</v>
      </c>
      <c r="D264" s="1">
        <v>2018</v>
      </c>
      <c r="E264" t="s">
        <v>26</v>
      </c>
      <c r="F264" t="s">
        <v>27</v>
      </c>
      <c r="G264" t="s">
        <v>120</v>
      </c>
      <c r="H264" t="s">
        <v>38</v>
      </c>
      <c r="I264" s="1" t="s">
        <v>30</v>
      </c>
      <c r="J264" s="1">
        <v>0.75</v>
      </c>
      <c r="K264" s="7">
        <v>995.2</v>
      </c>
      <c r="L264">
        <v>240</v>
      </c>
      <c r="M264" s="7">
        <f>Tabell1[[#This Row],[Salgspris]]*Tabell1[[#This Row],[Totalt antall]]</f>
        <v>238848</v>
      </c>
      <c r="N264">
        <v>54</v>
      </c>
      <c r="O264">
        <v>24</v>
      </c>
      <c r="P264">
        <v>18</v>
      </c>
      <c r="Q264">
        <v>24</v>
      </c>
      <c r="R264">
        <v>12</v>
      </c>
      <c r="S264">
        <v>18</v>
      </c>
      <c r="T264">
        <v>18</v>
      </c>
      <c r="U264">
        <v>24</v>
      </c>
      <c r="V264">
        <v>24</v>
      </c>
      <c r="W264">
        <v>12</v>
      </c>
      <c r="X264">
        <v>12</v>
      </c>
      <c r="Y264" s="3"/>
    </row>
    <row r="265" spans="1:25" ht="32.1" customHeight="1" x14ac:dyDescent="0.25">
      <c r="A265" s="1">
        <v>12735105</v>
      </c>
      <c r="B265" t="s">
        <v>273</v>
      </c>
      <c r="C265" t="s">
        <v>276</v>
      </c>
      <c r="D265" s="1">
        <v>2018</v>
      </c>
      <c r="E265" t="s">
        <v>26</v>
      </c>
      <c r="F265" t="s">
        <v>27</v>
      </c>
      <c r="G265" t="s">
        <v>120</v>
      </c>
      <c r="H265" t="s">
        <v>38</v>
      </c>
      <c r="I265" s="1" t="s">
        <v>30</v>
      </c>
      <c r="J265" s="1">
        <v>1.5</v>
      </c>
      <c r="K265" s="7">
        <v>1995.4</v>
      </c>
      <c r="L265">
        <v>24</v>
      </c>
      <c r="M265" s="7">
        <f>Tabell1[[#This Row],[Salgspris]]*Tabell1[[#This Row],[Totalt antall]]</f>
        <v>47889.600000000006</v>
      </c>
      <c r="N265">
        <v>12</v>
      </c>
      <c r="O265">
        <v>3</v>
      </c>
      <c r="Q265">
        <v>3</v>
      </c>
      <c r="U265">
        <v>3</v>
      </c>
      <c r="V265">
        <v>3</v>
      </c>
      <c r="X265"/>
      <c r="Y265" s="3"/>
    </row>
    <row r="266" spans="1:25" ht="32.1" customHeight="1" x14ac:dyDescent="0.25">
      <c r="A266" s="1">
        <v>12734601</v>
      </c>
      <c r="B266" t="s">
        <v>273</v>
      </c>
      <c r="C266" t="s">
        <v>277</v>
      </c>
      <c r="D266" s="1">
        <v>2018</v>
      </c>
      <c r="E266" t="s">
        <v>26</v>
      </c>
      <c r="F266" t="s">
        <v>27</v>
      </c>
      <c r="G266" t="s">
        <v>123</v>
      </c>
      <c r="H266" t="s">
        <v>29</v>
      </c>
      <c r="I266" s="1" t="s">
        <v>30</v>
      </c>
      <c r="J266" s="1">
        <v>0.75</v>
      </c>
      <c r="K266" s="7">
        <v>598.20000000000005</v>
      </c>
      <c r="L266">
        <v>120</v>
      </c>
      <c r="M266" s="7">
        <f>Tabell1[[#This Row],[Salgspris]]*Tabell1[[#This Row],[Totalt antall]]</f>
        <v>71784</v>
      </c>
      <c r="N266">
        <v>36</v>
      </c>
      <c r="O266">
        <v>12</v>
      </c>
      <c r="P266">
        <v>6</v>
      </c>
      <c r="Q266">
        <v>12</v>
      </c>
      <c r="R266">
        <v>12</v>
      </c>
      <c r="S266">
        <v>12</v>
      </c>
      <c r="T266">
        <v>6</v>
      </c>
      <c r="U266">
        <v>18</v>
      </c>
      <c r="V266">
        <v>6</v>
      </c>
      <c r="X266"/>
      <c r="Y266" s="3"/>
    </row>
    <row r="267" spans="1:25" ht="32.1" customHeight="1" x14ac:dyDescent="0.25">
      <c r="A267" s="1">
        <v>12734501</v>
      </c>
      <c r="B267" t="s">
        <v>273</v>
      </c>
      <c r="C267" t="s">
        <v>278</v>
      </c>
      <c r="D267" s="1">
        <v>2018</v>
      </c>
      <c r="E267" t="s">
        <v>26</v>
      </c>
      <c r="F267" t="s">
        <v>27</v>
      </c>
      <c r="G267" t="s">
        <v>123</v>
      </c>
      <c r="H267" t="s">
        <v>29</v>
      </c>
      <c r="I267" s="1" t="s">
        <v>30</v>
      </c>
      <c r="J267" s="1">
        <v>0.75</v>
      </c>
      <c r="K267" s="7">
        <v>749.4</v>
      </c>
      <c r="L267">
        <v>120</v>
      </c>
      <c r="M267" s="7">
        <f>Tabell1[[#This Row],[Salgspris]]*Tabell1[[#This Row],[Totalt antall]]</f>
        <v>89928</v>
      </c>
      <c r="N267">
        <v>36</v>
      </c>
      <c r="O267">
        <v>12</v>
      </c>
      <c r="P267">
        <v>12</v>
      </c>
      <c r="Q267">
        <v>12</v>
      </c>
      <c r="R267">
        <v>12</v>
      </c>
      <c r="S267">
        <v>6</v>
      </c>
      <c r="T267">
        <v>6</v>
      </c>
      <c r="U267">
        <v>18</v>
      </c>
      <c r="V267">
        <v>6</v>
      </c>
      <c r="X267"/>
      <c r="Y267" s="3"/>
    </row>
    <row r="268" spans="1:25" ht="32.1" customHeight="1" x14ac:dyDescent="0.25">
      <c r="A268" s="1">
        <v>12734701</v>
      </c>
      <c r="B268" t="s">
        <v>273</v>
      </c>
      <c r="C268" t="s">
        <v>279</v>
      </c>
      <c r="D268" s="1">
        <v>2018</v>
      </c>
      <c r="E268" t="s">
        <v>26</v>
      </c>
      <c r="F268" t="s">
        <v>27</v>
      </c>
      <c r="G268" t="s">
        <v>123</v>
      </c>
      <c r="H268" t="s">
        <v>29</v>
      </c>
      <c r="I268" s="1" t="s">
        <v>30</v>
      </c>
      <c r="J268" s="1">
        <v>0.75</v>
      </c>
      <c r="K268" s="7">
        <v>598.20000000000005</v>
      </c>
      <c r="L268">
        <v>120</v>
      </c>
      <c r="M268" s="7">
        <f>Tabell1[[#This Row],[Salgspris]]*Tabell1[[#This Row],[Totalt antall]]</f>
        <v>71784</v>
      </c>
      <c r="N268">
        <v>36</v>
      </c>
      <c r="O268">
        <v>12</v>
      </c>
      <c r="P268">
        <v>6</v>
      </c>
      <c r="Q268">
        <v>12</v>
      </c>
      <c r="R268">
        <v>12</v>
      </c>
      <c r="S268">
        <v>6</v>
      </c>
      <c r="T268">
        <v>12</v>
      </c>
      <c r="U268">
        <v>18</v>
      </c>
      <c r="V268">
        <v>6</v>
      </c>
      <c r="X268"/>
      <c r="Y268" s="3"/>
    </row>
    <row r="269" spans="1:25" ht="32.1" customHeight="1" x14ac:dyDescent="0.25">
      <c r="A269" s="1">
        <v>12735901</v>
      </c>
      <c r="B269" t="s">
        <v>273</v>
      </c>
      <c r="C269" t="s">
        <v>80</v>
      </c>
      <c r="D269" s="1">
        <v>2018</v>
      </c>
      <c r="E269" t="s">
        <v>26</v>
      </c>
      <c r="F269" t="s">
        <v>27</v>
      </c>
      <c r="G269" t="s">
        <v>67</v>
      </c>
      <c r="H269" t="s">
        <v>29</v>
      </c>
      <c r="I269" s="1" t="s">
        <v>30</v>
      </c>
      <c r="J269" s="1">
        <v>0.75</v>
      </c>
      <c r="K269" s="7">
        <v>2990.4</v>
      </c>
      <c r="L269">
        <v>24</v>
      </c>
      <c r="M269" s="7">
        <f>Tabell1[[#This Row],[Salgspris]]*Tabell1[[#This Row],[Totalt antall]]</f>
        <v>71769.600000000006</v>
      </c>
      <c r="N269">
        <v>9</v>
      </c>
      <c r="O269">
        <v>2</v>
      </c>
      <c r="P269">
        <v>1</v>
      </c>
      <c r="Q269">
        <v>2</v>
      </c>
      <c r="R269">
        <v>1</v>
      </c>
      <c r="S269">
        <v>1</v>
      </c>
      <c r="T269">
        <v>1</v>
      </c>
      <c r="U269">
        <v>4</v>
      </c>
      <c r="V269">
        <v>1</v>
      </c>
      <c r="W269">
        <v>1</v>
      </c>
      <c r="X269">
        <v>1</v>
      </c>
      <c r="Y269" s="3"/>
    </row>
    <row r="270" spans="1:25" ht="32.1" customHeight="1" x14ac:dyDescent="0.25">
      <c r="A270" s="1">
        <v>12734801</v>
      </c>
      <c r="B270" t="s">
        <v>273</v>
      </c>
      <c r="C270" t="s">
        <v>280</v>
      </c>
      <c r="D270" s="1">
        <v>2018</v>
      </c>
      <c r="E270" t="s">
        <v>26</v>
      </c>
      <c r="F270" t="s">
        <v>27</v>
      </c>
      <c r="G270" t="s">
        <v>67</v>
      </c>
      <c r="H270" t="s">
        <v>29</v>
      </c>
      <c r="I270" s="1" t="s">
        <v>30</v>
      </c>
      <c r="J270" s="1">
        <v>0.75</v>
      </c>
      <c r="K270" s="7">
        <v>949.2</v>
      </c>
      <c r="L270">
        <v>120</v>
      </c>
      <c r="M270" s="7">
        <f>Tabell1[[#This Row],[Salgspris]]*Tabell1[[#This Row],[Totalt antall]]</f>
        <v>113904</v>
      </c>
      <c r="N270">
        <v>36</v>
      </c>
      <c r="O270">
        <v>12</v>
      </c>
      <c r="P270">
        <v>12</v>
      </c>
      <c r="Q270">
        <v>12</v>
      </c>
      <c r="R270">
        <v>12</v>
      </c>
      <c r="S270">
        <v>6</v>
      </c>
      <c r="T270">
        <v>12</v>
      </c>
      <c r="U270">
        <v>18</v>
      </c>
      <c r="X270"/>
      <c r="Y270" s="3"/>
    </row>
    <row r="271" spans="1:25" ht="32.1" customHeight="1" x14ac:dyDescent="0.25">
      <c r="A271" s="1">
        <v>12735801</v>
      </c>
      <c r="B271" t="s">
        <v>273</v>
      </c>
      <c r="C271" t="s">
        <v>223</v>
      </c>
      <c r="D271" s="1">
        <v>2018</v>
      </c>
      <c r="E271" t="s">
        <v>26</v>
      </c>
      <c r="F271" t="s">
        <v>27</v>
      </c>
      <c r="G271" t="s">
        <v>67</v>
      </c>
      <c r="H271" t="s">
        <v>29</v>
      </c>
      <c r="I271" s="1" t="s">
        <v>30</v>
      </c>
      <c r="J271" s="1">
        <v>0.75</v>
      </c>
      <c r="K271" s="7">
        <v>949.4</v>
      </c>
      <c r="L271">
        <v>120</v>
      </c>
      <c r="M271" s="7">
        <f>Tabell1[[#This Row],[Salgspris]]*Tabell1[[#This Row],[Totalt antall]]</f>
        <v>113928</v>
      </c>
      <c r="N271">
        <v>36</v>
      </c>
      <c r="O271">
        <v>12</v>
      </c>
      <c r="P271">
        <v>6</v>
      </c>
      <c r="Q271">
        <v>12</v>
      </c>
      <c r="R271">
        <v>12</v>
      </c>
      <c r="S271">
        <v>6</v>
      </c>
      <c r="T271">
        <v>12</v>
      </c>
      <c r="U271">
        <v>18</v>
      </c>
      <c r="V271">
        <v>6</v>
      </c>
      <c r="X271"/>
      <c r="Y271" s="3"/>
    </row>
    <row r="272" spans="1:25" ht="32.1" customHeight="1" x14ac:dyDescent="0.25">
      <c r="A272" s="1">
        <v>12736501</v>
      </c>
      <c r="B272" t="s">
        <v>273</v>
      </c>
      <c r="C272" t="s">
        <v>211</v>
      </c>
      <c r="D272" s="1">
        <v>2018</v>
      </c>
      <c r="E272" t="s">
        <v>26</v>
      </c>
      <c r="F272" t="s">
        <v>27</v>
      </c>
      <c r="G272" t="s">
        <v>67</v>
      </c>
      <c r="H272" t="s">
        <v>38</v>
      </c>
      <c r="I272" s="1" t="s">
        <v>30</v>
      </c>
      <c r="J272" s="1">
        <v>0.75</v>
      </c>
      <c r="K272" s="7">
        <v>5990</v>
      </c>
      <c r="L272">
        <v>9</v>
      </c>
      <c r="M272" s="7">
        <f>Tabell1[[#This Row],[Salgspris]]*Tabell1[[#This Row],[Totalt antall]]</f>
        <v>53910</v>
      </c>
      <c r="N272">
        <v>4</v>
      </c>
      <c r="O272">
        <v>1</v>
      </c>
      <c r="Q272">
        <v>1</v>
      </c>
      <c r="T272">
        <v>1</v>
      </c>
      <c r="U272">
        <v>1</v>
      </c>
      <c r="V272">
        <v>1</v>
      </c>
      <c r="X272"/>
      <c r="Y272" s="3" t="s">
        <v>31</v>
      </c>
    </row>
    <row r="273" spans="1:25" ht="32.1" customHeight="1" x14ac:dyDescent="0.25">
      <c r="A273" s="1">
        <v>12736301</v>
      </c>
      <c r="B273" t="s">
        <v>273</v>
      </c>
      <c r="C273" t="s">
        <v>83</v>
      </c>
      <c r="D273" s="1">
        <v>2018</v>
      </c>
      <c r="E273" t="s">
        <v>26</v>
      </c>
      <c r="F273" t="s">
        <v>27</v>
      </c>
      <c r="G273" t="s">
        <v>84</v>
      </c>
      <c r="H273" t="s">
        <v>38</v>
      </c>
      <c r="I273" s="1" t="s">
        <v>30</v>
      </c>
      <c r="J273" s="1">
        <v>0.75</v>
      </c>
      <c r="K273" s="7">
        <v>2990.2</v>
      </c>
      <c r="L273">
        <v>12</v>
      </c>
      <c r="M273" s="7">
        <f>Tabell1[[#This Row],[Salgspris]]*Tabell1[[#This Row],[Totalt antall]]</f>
        <v>35882.399999999994</v>
      </c>
      <c r="N273">
        <v>6</v>
      </c>
      <c r="O273">
        <v>2</v>
      </c>
      <c r="Q273">
        <v>2</v>
      </c>
      <c r="V273">
        <v>2</v>
      </c>
      <c r="X273"/>
      <c r="Y273" s="3"/>
    </row>
    <row r="274" spans="1:25" ht="32.1" customHeight="1" x14ac:dyDescent="0.25">
      <c r="A274" s="1">
        <v>12735201</v>
      </c>
      <c r="B274" t="s">
        <v>273</v>
      </c>
      <c r="C274" t="s">
        <v>281</v>
      </c>
      <c r="D274" s="1">
        <v>2018</v>
      </c>
      <c r="E274" t="s">
        <v>26</v>
      </c>
      <c r="F274" t="s">
        <v>27</v>
      </c>
      <c r="G274" t="s">
        <v>282</v>
      </c>
      <c r="I274" s="1" t="s">
        <v>30</v>
      </c>
      <c r="J274" s="1">
        <v>0.75</v>
      </c>
      <c r="K274" s="7">
        <v>399.2</v>
      </c>
      <c r="L274">
        <v>600</v>
      </c>
      <c r="M274" s="7">
        <f>Tabell1[[#This Row],[Salgspris]]*Tabell1[[#This Row],[Totalt antall]]</f>
        <v>239520</v>
      </c>
      <c r="N274">
        <v>72</v>
      </c>
      <c r="O274">
        <v>48</v>
      </c>
      <c r="P274">
        <v>48</v>
      </c>
      <c r="Q274">
        <v>48</v>
      </c>
      <c r="R274">
        <v>48</v>
      </c>
      <c r="S274">
        <v>48</v>
      </c>
      <c r="T274">
        <v>48</v>
      </c>
      <c r="U274">
        <v>132</v>
      </c>
      <c r="V274">
        <v>60</v>
      </c>
      <c r="W274">
        <v>24</v>
      </c>
      <c r="X274">
        <v>24</v>
      </c>
      <c r="Y274" s="3"/>
    </row>
    <row r="275" spans="1:25" ht="32.1" customHeight="1" x14ac:dyDescent="0.25">
      <c r="A275" s="1">
        <v>12736701</v>
      </c>
      <c r="B275" t="s">
        <v>273</v>
      </c>
      <c r="C275" t="s">
        <v>64</v>
      </c>
      <c r="D275" s="1">
        <v>2018</v>
      </c>
      <c r="E275" t="s">
        <v>26</v>
      </c>
      <c r="F275" t="s">
        <v>27</v>
      </c>
      <c r="G275" t="s">
        <v>35</v>
      </c>
      <c r="H275" t="s">
        <v>38</v>
      </c>
      <c r="I275" s="1" t="s">
        <v>30</v>
      </c>
      <c r="J275" s="1">
        <v>0.75</v>
      </c>
      <c r="K275" s="7">
        <v>3485.9</v>
      </c>
      <c r="L275">
        <v>24</v>
      </c>
      <c r="M275" s="7">
        <f>Tabell1[[#This Row],[Salgspris]]*Tabell1[[#This Row],[Totalt antall]]</f>
        <v>83661.600000000006</v>
      </c>
      <c r="N275">
        <v>12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X275"/>
      <c r="Y275" s="3"/>
    </row>
    <row r="276" spans="1:25" ht="32.1" customHeight="1" x14ac:dyDescent="0.25">
      <c r="A276" s="1">
        <v>12736801</v>
      </c>
      <c r="B276" t="s">
        <v>273</v>
      </c>
      <c r="C276" t="s">
        <v>283</v>
      </c>
      <c r="D276" s="1">
        <v>2018</v>
      </c>
      <c r="E276" t="s">
        <v>26</v>
      </c>
      <c r="F276" t="s">
        <v>27</v>
      </c>
      <c r="G276" t="s">
        <v>35</v>
      </c>
      <c r="H276" t="s">
        <v>38</v>
      </c>
      <c r="I276" s="1" t="s">
        <v>30</v>
      </c>
      <c r="J276" s="1">
        <v>0.75</v>
      </c>
      <c r="K276" s="7">
        <v>2390.1999999999998</v>
      </c>
      <c r="L276">
        <v>24</v>
      </c>
      <c r="M276" s="7">
        <f>Tabell1[[#This Row],[Salgspris]]*Tabell1[[#This Row],[Totalt antall]]</f>
        <v>57364.799999999996</v>
      </c>
      <c r="N276">
        <v>9</v>
      </c>
      <c r="S276">
        <v>2</v>
      </c>
      <c r="T276">
        <v>2</v>
      </c>
      <c r="U276">
        <v>5</v>
      </c>
      <c r="V276">
        <v>2</v>
      </c>
      <c r="W276">
        <v>2</v>
      </c>
      <c r="X276">
        <v>2</v>
      </c>
      <c r="Y276" s="3"/>
    </row>
    <row r="277" spans="1:25" ht="32.1" customHeight="1" x14ac:dyDescent="0.25">
      <c r="A277" s="1">
        <v>12737201</v>
      </c>
      <c r="B277" t="s">
        <v>273</v>
      </c>
      <c r="C277" t="s">
        <v>169</v>
      </c>
      <c r="D277" s="1">
        <v>2018</v>
      </c>
      <c r="E277" t="s">
        <v>26</v>
      </c>
      <c r="F277" t="s">
        <v>27</v>
      </c>
      <c r="G277" t="s">
        <v>35</v>
      </c>
      <c r="H277" t="s">
        <v>29</v>
      </c>
      <c r="I277" s="1" t="s">
        <v>30</v>
      </c>
      <c r="J277" s="1">
        <v>0.75</v>
      </c>
      <c r="K277" s="7">
        <v>1695.4</v>
      </c>
      <c r="L277">
        <v>180</v>
      </c>
      <c r="M277" s="7">
        <f>Tabell1[[#This Row],[Salgspris]]*Tabell1[[#This Row],[Totalt antall]]</f>
        <v>305172</v>
      </c>
      <c r="N277">
        <v>30</v>
      </c>
      <c r="O277">
        <v>18</v>
      </c>
      <c r="P277">
        <v>12</v>
      </c>
      <c r="Q277">
        <v>18</v>
      </c>
      <c r="R277">
        <v>12</v>
      </c>
      <c r="S277">
        <v>12</v>
      </c>
      <c r="T277">
        <v>12</v>
      </c>
      <c r="U277">
        <v>36</v>
      </c>
      <c r="V277">
        <v>18</v>
      </c>
      <c r="W277">
        <v>6</v>
      </c>
      <c r="X277">
        <v>6</v>
      </c>
      <c r="Y277" s="3"/>
    </row>
    <row r="278" spans="1:25" ht="32.1" customHeight="1" x14ac:dyDescent="0.25">
      <c r="A278" s="1">
        <v>12778805</v>
      </c>
      <c r="B278" t="s">
        <v>273</v>
      </c>
      <c r="C278" t="s">
        <v>169</v>
      </c>
      <c r="D278" s="1">
        <v>2018</v>
      </c>
      <c r="E278" t="s">
        <v>26</v>
      </c>
      <c r="F278" t="s">
        <v>27</v>
      </c>
      <c r="G278" t="s">
        <v>35</v>
      </c>
      <c r="H278" t="s">
        <v>29</v>
      </c>
      <c r="I278" s="1" t="s">
        <v>30</v>
      </c>
      <c r="J278" s="1">
        <v>1.5</v>
      </c>
      <c r="K278" s="7">
        <v>3371.7</v>
      </c>
      <c r="L278">
        <v>12</v>
      </c>
      <c r="M278" s="7">
        <f>Tabell1[[#This Row],[Salgspris]]*Tabell1[[#This Row],[Totalt antall]]</f>
        <v>40460.399999999994</v>
      </c>
      <c r="N278">
        <v>6</v>
      </c>
      <c r="O278">
        <v>2</v>
      </c>
      <c r="Q278">
        <v>2</v>
      </c>
      <c r="R278">
        <v>2</v>
      </c>
      <c r="X278"/>
      <c r="Y278" s="3"/>
    </row>
    <row r="279" spans="1:25" ht="32.1" customHeight="1" x14ac:dyDescent="0.25">
      <c r="A279" s="1">
        <v>12736901</v>
      </c>
      <c r="B279" t="s">
        <v>273</v>
      </c>
      <c r="C279" t="s">
        <v>284</v>
      </c>
      <c r="D279" s="1">
        <v>2018</v>
      </c>
      <c r="E279" t="s">
        <v>26</v>
      </c>
      <c r="F279" t="s">
        <v>27</v>
      </c>
      <c r="G279" t="s">
        <v>35</v>
      </c>
      <c r="H279" t="s">
        <v>29</v>
      </c>
      <c r="I279" s="1" t="s">
        <v>30</v>
      </c>
      <c r="J279" s="1">
        <v>0.75</v>
      </c>
      <c r="K279" s="7">
        <v>995.4</v>
      </c>
      <c r="L279">
        <v>144</v>
      </c>
      <c r="M279" s="7">
        <f>Tabell1[[#This Row],[Salgspris]]*Tabell1[[#This Row],[Totalt antall]]</f>
        <v>143337.60000000001</v>
      </c>
      <c r="N279">
        <v>36</v>
      </c>
      <c r="O279">
        <v>12</v>
      </c>
      <c r="P279">
        <v>12</v>
      </c>
      <c r="Q279">
        <v>12</v>
      </c>
      <c r="R279">
        <v>12</v>
      </c>
      <c r="S279">
        <v>12</v>
      </c>
      <c r="T279">
        <v>12</v>
      </c>
      <c r="U279">
        <v>18</v>
      </c>
      <c r="V279">
        <v>6</v>
      </c>
      <c r="W279">
        <v>6</v>
      </c>
      <c r="X279">
        <v>6</v>
      </c>
      <c r="Y279" s="3"/>
    </row>
    <row r="280" spans="1:25" ht="32.1" customHeight="1" x14ac:dyDescent="0.25">
      <c r="A280" s="1">
        <v>12737001</v>
      </c>
      <c r="B280" t="s">
        <v>273</v>
      </c>
      <c r="C280" t="s">
        <v>226</v>
      </c>
      <c r="D280" s="1">
        <v>2018</v>
      </c>
      <c r="E280" t="s">
        <v>26</v>
      </c>
      <c r="F280" t="s">
        <v>27</v>
      </c>
      <c r="G280" t="s">
        <v>35</v>
      </c>
      <c r="H280" t="s">
        <v>29</v>
      </c>
      <c r="I280" s="1" t="s">
        <v>30</v>
      </c>
      <c r="J280" s="1">
        <v>0.75</v>
      </c>
      <c r="K280" s="7">
        <v>995.2</v>
      </c>
      <c r="L280">
        <v>180</v>
      </c>
      <c r="M280" s="7">
        <f>Tabell1[[#This Row],[Salgspris]]*Tabell1[[#This Row],[Totalt antall]]</f>
        <v>179136</v>
      </c>
      <c r="N280">
        <v>24</v>
      </c>
      <c r="O280">
        <v>18</v>
      </c>
      <c r="P280">
        <v>12</v>
      </c>
      <c r="Q280">
        <v>18</v>
      </c>
      <c r="R280">
        <v>12</v>
      </c>
      <c r="S280">
        <v>12</v>
      </c>
      <c r="T280">
        <v>12</v>
      </c>
      <c r="U280">
        <v>42</v>
      </c>
      <c r="V280">
        <v>18</v>
      </c>
      <c r="W280">
        <v>6</v>
      </c>
      <c r="X280">
        <v>6</v>
      </c>
      <c r="Y280" s="3"/>
    </row>
    <row r="281" spans="1:25" ht="32.1" customHeight="1" x14ac:dyDescent="0.25">
      <c r="A281" s="1">
        <v>12736205</v>
      </c>
      <c r="B281" t="s">
        <v>273</v>
      </c>
      <c r="C281" t="s">
        <v>226</v>
      </c>
      <c r="D281" s="1">
        <v>2018</v>
      </c>
      <c r="E281" t="s">
        <v>26</v>
      </c>
      <c r="F281" t="s">
        <v>27</v>
      </c>
      <c r="G281" t="s">
        <v>35</v>
      </c>
      <c r="H281" t="s">
        <v>29</v>
      </c>
      <c r="I281" s="1" t="s">
        <v>30</v>
      </c>
      <c r="J281" s="1">
        <v>1.5</v>
      </c>
      <c r="K281" s="7">
        <v>1990.4</v>
      </c>
      <c r="L281">
        <v>24</v>
      </c>
      <c r="M281" s="7">
        <f>Tabell1[[#This Row],[Salgspris]]*Tabell1[[#This Row],[Totalt antall]]</f>
        <v>47769.600000000006</v>
      </c>
      <c r="N281">
        <v>12</v>
      </c>
      <c r="O281">
        <v>3</v>
      </c>
      <c r="Q281">
        <v>3</v>
      </c>
      <c r="U281">
        <v>3</v>
      </c>
      <c r="V281">
        <v>3</v>
      </c>
      <c r="X281"/>
      <c r="Y281" s="3"/>
    </row>
    <row r="282" spans="1:25" ht="32.1" customHeight="1" x14ac:dyDescent="0.25">
      <c r="A282" s="1">
        <v>12737101</v>
      </c>
      <c r="B282" t="s">
        <v>273</v>
      </c>
      <c r="C282" t="s">
        <v>170</v>
      </c>
      <c r="D282" s="1">
        <v>2018</v>
      </c>
      <c r="E282" t="s">
        <v>26</v>
      </c>
      <c r="F282" t="s">
        <v>27</v>
      </c>
      <c r="G282" t="s">
        <v>35</v>
      </c>
      <c r="H282" t="s">
        <v>29</v>
      </c>
      <c r="I282" s="1" t="s">
        <v>30</v>
      </c>
      <c r="J282" s="1">
        <v>0.75</v>
      </c>
      <c r="K282" s="7">
        <v>899.2</v>
      </c>
      <c r="L282">
        <v>180</v>
      </c>
      <c r="M282" s="7">
        <f>Tabell1[[#This Row],[Salgspris]]*Tabell1[[#This Row],[Totalt antall]]</f>
        <v>161856</v>
      </c>
      <c r="N282">
        <v>48</v>
      </c>
      <c r="O282">
        <v>18</v>
      </c>
      <c r="P282">
        <v>12</v>
      </c>
      <c r="Q282">
        <v>18</v>
      </c>
      <c r="R282">
        <v>12</v>
      </c>
      <c r="S282">
        <v>12</v>
      </c>
      <c r="T282">
        <v>12</v>
      </c>
      <c r="U282">
        <v>30</v>
      </c>
      <c r="V282">
        <v>6</v>
      </c>
      <c r="W282">
        <v>6</v>
      </c>
      <c r="X282">
        <v>6</v>
      </c>
      <c r="Y282" s="3"/>
    </row>
    <row r="283" spans="1:25" ht="32.1" customHeight="1" x14ac:dyDescent="0.25">
      <c r="A283" s="1">
        <v>12737401</v>
      </c>
      <c r="B283" t="s">
        <v>273</v>
      </c>
      <c r="C283" t="s">
        <v>285</v>
      </c>
      <c r="D283" s="1">
        <v>2018</v>
      </c>
      <c r="E283" t="s">
        <v>26</v>
      </c>
      <c r="F283" t="s">
        <v>27</v>
      </c>
      <c r="G283" t="s">
        <v>35</v>
      </c>
      <c r="H283" t="s">
        <v>38</v>
      </c>
      <c r="I283" s="1" t="s">
        <v>30</v>
      </c>
      <c r="J283" s="1">
        <v>0.75</v>
      </c>
      <c r="K283" s="7">
        <v>2390</v>
      </c>
      <c r="L283">
        <v>24</v>
      </c>
      <c r="M283" s="7">
        <f>Tabell1[[#This Row],[Salgspris]]*Tabell1[[#This Row],[Totalt antall]]</f>
        <v>57360</v>
      </c>
      <c r="N283">
        <v>9</v>
      </c>
      <c r="O283">
        <v>2</v>
      </c>
      <c r="P283">
        <v>2</v>
      </c>
      <c r="Q283">
        <v>2</v>
      </c>
      <c r="R283">
        <v>2</v>
      </c>
      <c r="T283">
        <v>2</v>
      </c>
      <c r="U283">
        <v>5</v>
      </c>
      <c r="X283"/>
      <c r="Y283" s="3"/>
    </row>
    <row r="284" spans="1:25" ht="32.1" customHeight="1" x14ac:dyDescent="0.25">
      <c r="A284" s="1">
        <v>12735301</v>
      </c>
      <c r="B284" t="s">
        <v>273</v>
      </c>
      <c r="C284" t="s">
        <v>124</v>
      </c>
      <c r="D284" s="1">
        <v>2018</v>
      </c>
      <c r="E284" t="s">
        <v>26</v>
      </c>
      <c r="F284" t="s">
        <v>27</v>
      </c>
      <c r="G284" t="s">
        <v>116</v>
      </c>
      <c r="H284" t="s">
        <v>29</v>
      </c>
      <c r="I284" s="1" t="s">
        <v>30</v>
      </c>
      <c r="J284" s="1">
        <v>0.75</v>
      </c>
      <c r="K284" s="7">
        <v>440.2</v>
      </c>
      <c r="L284">
        <v>144</v>
      </c>
      <c r="M284" s="7">
        <f>Tabell1[[#This Row],[Salgspris]]*Tabell1[[#This Row],[Totalt antall]]</f>
        <v>63388.799999999996</v>
      </c>
      <c r="N284">
        <v>24</v>
      </c>
      <c r="O284">
        <v>12</v>
      </c>
      <c r="P284">
        <v>12</v>
      </c>
      <c r="Q284">
        <v>12</v>
      </c>
      <c r="R284">
        <v>12</v>
      </c>
      <c r="S284">
        <v>12</v>
      </c>
      <c r="T284">
        <v>12</v>
      </c>
      <c r="U284">
        <v>24</v>
      </c>
      <c r="V284">
        <v>12</v>
      </c>
      <c r="W284">
        <v>6</v>
      </c>
      <c r="X284">
        <v>6</v>
      </c>
      <c r="Y284" s="3"/>
    </row>
    <row r="285" spans="1:25" ht="32.1" customHeight="1" x14ac:dyDescent="0.25">
      <c r="A285" s="1">
        <v>12736001</v>
      </c>
      <c r="B285" t="s">
        <v>273</v>
      </c>
      <c r="C285" t="s">
        <v>286</v>
      </c>
      <c r="D285" s="1">
        <v>2018</v>
      </c>
      <c r="E285" t="s">
        <v>26</v>
      </c>
      <c r="F285" t="s">
        <v>27</v>
      </c>
      <c r="G285" t="s">
        <v>126</v>
      </c>
      <c r="H285" t="s">
        <v>29</v>
      </c>
      <c r="I285" s="1" t="s">
        <v>30</v>
      </c>
      <c r="J285" s="1">
        <v>0.75</v>
      </c>
      <c r="K285" s="7">
        <v>899.4</v>
      </c>
      <c r="L285">
        <v>120</v>
      </c>
      <c r="M285" s="7">
        <f>Tabell1[[#This Row],[Salgspris]]*Tabell1[[#This Row],[Totalt antall]]</f>
        <v>107928</v>
      </c>
      <c r="N285">
        <v>36</v>
      </c>
      <c r="O285">
        <v>12</v>
      </c>
      <c r="P285">
        <v>6</v>
      </c>
      <c r="Q285">
        <v>12</v>
      </c>
      <c r="R285">
        <v>12</v>
      </c>
      <c r="S285">
        <v>6</v>
      </c>
      <c r="T285">
        <v>12</v>
      </c>
      <c r="U285">
        <v>18</v>
      </c>
      <c r="V285">
        <v>6</v>
      </c>
      <c r="X285"/>
      <c r="Y285" s="3"/>
    </row>
    <row r="286" spans="1:25" ht="32.1" customHeight="1" x14ac:dyDescent="0.25">
      <c r="A286" s="1">
        <v>12737501</v>
      </c>
      <c r="B286" t="s">
        <v>273</v>
      </c>
      <c r="C286" t="s">
        <v>165</v>
      </c>
      <c r="D286" s="1">
        <v>2018</v>
      </c>
      <c r="E286" t="s">
        <v>26</v>
      </c>
      <c r="F286" t="s">
        <v>27</v>
      </c>
      <c r="G286" t="s">
        <v>126</v>
      </c>
      <c r="H286" t="s">
        <v>29</v>
      </c>
      <c r="I286" s="1" t="s">
        <v>30</v>
      </c>
      <c r="J286" s="1">
        <v>0.75</v>
      </c>
      <c r="K286" s="7">
        <v>929.2</v>
      </c>
      <c r="L286">
        <v>120</v>
      </c>
      <c r="M286" s="7">
        <f>Tabell1[[#This Row],[Salgspris]]*Tabell1[[#This Row],[Totalt antall]]</f>
        <v>111504</v>
      </c>
      <c r="N286">
        <v>36</v>
      </c>
      <c r="O286">
        <v>12</v>
      </c>
      <c r="P286">
        <v>6</v>
      </c>
      <c r="Q286">
        <v>12</v>
      </c>
      <c r="R286">
        <v>12</v>
      </c>
      <c r="S286">
        <v>6</v>
      </c>
      <c r="T286">
        <v>12</v>
      </c>
      <c r="U286">
        <v>18</v>
      </c>
      <c r="V286">
        <v>6</v>
      </c>
      <c r="X286"/>
      <c r="Y286" s="3"/>
    </row>
    <row r="287" spans="1:25" ht="32.1" customHeight="1" x14ac:dyDescent="0.25">
      <c r="A287" s="1">
        <v>12736101</v>
      </c>
      <c r="B287" t="s">
        <v>273</v>
      </c>
      <c r="C287" t="s">
        <v>166</v>
      </c>
      <c r="D287" s="1">
        <v>2018</v>
      </c>
      <c r="E287" t="s">
        <v>26</v>
      </c>
      <c r="F287" t="s">
        <v>27</v>
      </c>
      <c r="G287" t="s">
        <v>126</v>
      </c>
      <c r="H287" t="s">
        <v>29</v>
      </c>
      <c r="I287" s="1" t="s">
        <v>30</v>
      </c>
      <c r="J287" s="1">
        <v>0.75</v>
      </c>
      <c r="K287" s="7">
        <v>879.4</v>
      </c>
      <c r="L287">
        <v>120</v>
      </c>
      <c r="M287" s="7">
        <f>Tabell1[[#This Row],[Salgspris]]*Tabell1[[#This Row],[Totalt antall]]</f>
        <v>105528</v>
      </c>
      <c r="N287">
        <v>36</v>
      </c>
      <c r="O287">
        <v>12</v>
      </c>
      <c r="P287">
        <v>6</v>
      </c>
      <c r="Q287">
        <v>12</v>
      </c>
      <c r="R287">
        <v>12</v>
      </c>
      <c r="S287">
        <v>12</v>
      </c>
      <c r="T287">
        <v>12</v>
      </c>
      <c r="U287">
        <v>18</v>
      </c>
      <c r="X287"/>
      <c r="Y287" s="3"/>
    </row>
    <row r="288" spans="1:25" ht="32.1" customHeight="1" x14ac:dyDescent="0.25">
      <c r="A288" s="1">
        <v>12734401</v>
      </c>
      <c r="B288" t="s">
        <v>273</v>
      </c>
      <c r="C288" t="s">
        <v>287</v>
      </c>
      <c r="D288" s="1">
        <v>2018</v>
      </c>
      <c r="E288" t="s">
        <v>26</v>
      </c>
      <c r="F288" t="s">
        <v>27</v>
      </c>
      <c r="G288" t="s">
        <v>176</v>
      </c>
      <c r="H288" t="s">
        <v>29</v>
      </c>
      <c r="I288" s="1" t="s">
        <v>30</v>
      </c>
      <c r="J288" s="1">
        <v>0.75</v>
      </c>
      <c r="K288" s="7">
        <v>449.2</v>
      </c>
      <c r="L288">
        <v>144</v>
      </c>
      <c r="M288" s="7">
        <f>Tabell1[[#This Row],[Salgspris]]*Tabell1[[#This Row],[Totalt antall]]</f>
        <v>64684.799999999996</v>
      </c>
      <c r="N288">
        <v>36</v>
      </c>
      <c r="O288">
        <v>12</v>
      </c>
      <c r="P288">
        <v>12</v>
      </c>
      <c r="Q288">
        <v>12</v>
      </c>
      <c r="R288">
        <v>12</v>
      </c>
      <c r="S288">
        <v>12</v>
      </c>
      <c r="T288">
        <v>12</v>
      </c>
      <c r="U288">
        <v>18</v>
      </c>
      <c r="V288">
        <v>6</v>
      </c>
      <c r="W288">
        <v>6</v>
      </c>
      <c r="X288">
        <v>6</v>
      </c>
      <c r="Y288" s="3"/>
    </row>
    <row r="289" spans="1:25" ht="32.1" customHeight="1" x14ac:dyDescent="0.25">
      <c r="A289" s="1">
        <v>12735401</v>
      </c>
      <c r="B289" t="s">
        <v>273</v>
      </c>
      <c r="C289" t="s">
        <v>177</v>
      </c>
      <c r="D289" s="1">
        <v>2018</v>
      </c>
      <c r="E289" t="s">
        <v>26</v>
      </c>
      <c r="F289" t="s">
        <v>27</v>
      </c>
      <c r="G289" t="s">
        <v>176</v>
      </c>
      <c r="H289" t="s">
        <v>29</v>
      </c>
      <c r="I289" s="1" t="s">
        <v>30</v>
      </c>
      <c r="J289" s="1">
        <v>0.75</v>
      </c>
      <c r="K289" s="7">
        <v>499.2</v>
      </c>
      <c r="L289">
        <v>144</v>
      </c>
      <c r="M289" s="7">
        <f>Tabell1[[#This Row],[Salgspris]]*Tabell1[[#This Row],[Totalt antall]]</f>
        <v>71884.800000000003</v>
      </c>
      <c r="N289">
        <v>24</v>
      </c>
      <c r="O289">
        <v>12</v>
      </c>
      <c r="P289">
        <v>12</v>
      </c>
      <c r="Q289">
        <v>12</v>
      </c>
      <c r="R289">
        <v>12</v>
      </c>
      <c r="S289">
        <v>12</v>
      </c>
      <c r="T289">
        <v>12</v>
      </c>
      <c r="U289">
        <v>24</v>
      </c>
      <c r="V289">
        <v>12</v>
      </c>
      <c r="W289">
        <v>6</v>
      </c>
      <c r="X289">
        <v>6</v>
      </c>
      <c r="Y289" s="3"/>
    </row>
    <row r="290" spans="1:25" ht="32.1" customHeight="1" x14ac:dyDescent="0.25">
      <c r="A290" s="1">
        <v>12735501</v>
      </c>
      <c r="B290" t="s">
        <v>273</v>
      </c>
      <c r="C290" t="s">
        <v>288</v>
      </c>
      <c r="D290" s="1">
        <v>2018</v>
      </c>
      <c r="E290" t="s">
        <v>26</v>
      </c>
      <c r="F290" t="s">
        <v>27</v>
      </c>
      <c r="G290" t="s">
        <v>28</v>
      </c>
      <c r="H290" t="s">
        <v>29</v>
      </c>
      <c r="I290" s="1" t="s">
        <v>30</v>
      </c>
      <c r="J290" s="1">
        <v>0.75</v>
      </c>
      <c r="K290" s="7">
        <v>695.4</v>
      </c>
      <c r="L290">
        <v>120</v>
      </c>
      <c r="M290" s="7">
        <f>Tabell1[[#This Row],[Salgspris]]*Tabell1[[#This Row],[Totalt antall]]</f>
        <v>83448</v>
      </c>
      <c r="N290">
        <v>36</v>
      </c>
      <c r="O290">
        <v>12</v>
      </c>
      <c r="P290">
        <v>6</v>
      </c>
      <c r="Q290">
        <v>12</v>
      </c>
      <c r="R290">
        <v>12</v>
      </c>
      <c r="S290">
        <v>12</v>
      </c>
      <c r="T290">
        <v>12</v>
      </c>
      <c r="U290">
        <v>18</v>
      </c>
      <c r="X290"/>
      <c r="Y290" s="3"/>
    </row>
    <row r="291" spans="1:25" ht="32.1" customHeight="1" x14ac:dyDescent="0.25">
      <c r="A291" s="1">
        <v>12735601</v>
      </c>
      <c r="B291" t="s">
        <v>273</v>
      </c>
      <c r="C291" t="s">
        <v>263</v>
      </c>
      <c r="D291" s="1">
        <v>2018</v>
      </c>
      <c r="E291" t="s">
        <v>26</v>
      </c>
      <c r="F291" t="s">
        <v>27</v>
      </c>
      <c r="G291" t="s">
        <v>28</v>
      </c>
      <c r="H291" t="s">
        <v>29</v>
      </c>
      <c r="I291" s="1" t="s">
        <v>30</v>
      </c>
      <c r="J291" s="1">
        <v>0.75</v>
      </c>
      <c r="K291" s="7">
        <v>695.4</v>
      </c>
      <c r="L291">
        <v>120</v>
      </c>
      <c r="M291" s="7">
        <f>Tabell1[[#This Row],[Salgspris]]*Tabell1[[#This Row],[Totalt antall]]</f>
        <v>83448</v>
      </c>
      <c r="N291">
        <v>36</v>
      </c>
      <c r="O291">
        <v>12</v>
      </c>
      <c r="P291">
        <v>6</v>
      </c>
      <c r="Q291">
        <v>12</v>
      </c>
      <c r="R291">
        <v>12</v>
      </c>
      <c r="S291">
        <v>6</v>
      </c>
      <c r="T291">
        <v>12</v>
      </c>
      <c r="U291">
        <v>18</v>
      </c>
      <c r="V291">
        <v>6</v>
      </c>
      <c r="X291"/>
      <c r="Y291" s="3"/>
    </row>
    <row r="292" spans="1:25" ht="32.1" customHeight="1" x14ac:dyDescent="0.25">
      <c r="A292" s="1">
        <v>12737301</v>
      </c>
      <c r="B292" t="s">
        <v>273</v>
      </c>
      <c r="C292" t="s">
        <v>62</v>
      </c>
      <c r="D292" s="1">
        <v>2018</v>
      </c>
      <c r="E292" t="s">
        <v>26</v>
      </c>
      <c r="F292" t="s">
        <v>27</v>
      </c>
      <c r="G292" t="s">
        <v>74</v>
      </c>
      <c r="H292" t="s">
        <v>38</v>
      </c>
      <c r="I292" s="1" t="s">
        <v>30</v>
      </c>
      <c r="J292" s="1">
        <v>0.75</v>
      </c>
      <c r="K292" s="7">
        <v>2690.1</v>
      </c>
      <c r="L292">
        <v>12</v>
      </c>
      <c r="M292" s="7">
        <f>Tabell1[[#This Row],[Salgspris]]*Tabell1[[#This Row],[Totalt antall]]</f>
        <v>32281.199999999997</v>
      </c>
      <c r="N292">
        <v>6</v>
      </c>
      <c r="O292">
        <v>2</v>
      </c>
      <c r="Q292">
        <v>2</v>
      </c>
      <c r="R292">
        <v>2</v>
      </c>
      <c r="X292"/>
      <c r="Y292" s="3"/>
    </row>
    <row r="293" spans="1:25" ht="32.1" customHeight="1" x14ac:dyDescent="0.25">
      <c r="A293" s="1">
        <v>12734301</v>
      </c>
      <c r="B293" t="s">
        <v>273</v>
      </c>
      <c r="C293" t="s">
        <v>289</v>
      </c>
      <c r="D293" s="1">
        <v>2018</v>
      </c>
      <c r="E293" t="s">
        <v>26</v>
      </c>
      <c r="F293" t="s">
        <v>27</v>
      </c>
      <c r="I293" s="1" t="s">
        <v>30</v>
      </c>
      <c r="J293" s="1">
        <v>0.75</v>
      </c>
      <c r="K293" s="7">
        <v>339.2</v>
      </c>
      <c r="L293">
        <v>480</v>
      </c>
      <c r="M293" s="7">
        <f>Tabell1[[#This Row],[Salgspris]]*Tabell1[[#This Row],[Totalt antall]]</f>
        <v>162816</v>
      </c>
      <c r="N293">
        <v>72</v>
      </c>
      <c r="O293">
        <v>48</v>
      </c>
      <c r="P293">
        <v>36</v>
      </c>
      <c r="Q293">
        <v>48</v>
      </c>
      <c r="R293">
        <v>48</v>
      </c>
      <c r="S293">
        <v>36</v>
      </c>
      <c r="T293">
        <v>36</v>
      </c>
      <c r="U293">
        <v>72</v>
      </c>
      <c r="V293">
        <v>60</v>
      </c>
      <c r="W293">
        <v>12</v>
      </c>
      <c r="X293">
        <v>12</v>
      </c>
      <c r="Y293" s="3"/>
    </row>
    <row r="294" spans="1:25" ht="32.1" customHeight="1" x14ac:dyDescent="0.25">
      <c r="A294" s="1">
        <v>12775001</v>
      </c>
      <c r="B294" t="s">
        <v>290</v>
      </c>
      <c r="C294" t="s">
        <v>291</v>
      </c>
      <c r="D294" s="1">
        <v>2018</v>
      </c>
      <c r="E294" t="s">
        <v>26</v>
      </c>
      <c r="F294" t="s">
        <v>27</v>
      </c>
      <c r="G294" t="s">
        <v>57</v>
      </c>
      <c r="I294" s="1" t="s">
        <v>45</v>
      </c>
      <c r="J294" s="1">
        <v>0.75</v>
      </c>
      <c r="K294" s="7">
        <v>808.6</v>
      </c>
      <c r="L294">
        <v>36</v>
      </c>
      <c r="M294" s="7">
        <f>Tabell1[[#This Row],[Salgspris]]*Tabell1[[#This Row],[Totalt antall]]</f>
        <v>29109.600000000002</v>
      </c>
      <c r="N294">
        <v>18</v>
      </c>
      <c r="O294">
        <v>3</v>
      </c>
      <c r="P294">
        <v>3</v>
      </c>
      <c r="Q294">
        <v>3</v>
      </c>
      <c r="S294">
        <v>3</v>
      </c>
      <c r="T294">
        <v>3</v>
      </c>
      <c r="V294">
        <v>3</v>
      </c>
      <c r="X294"/>
      <c r="Y294" s="3" t="s">
        <v>31</v>
      </c>
    </row>
    <row r="295" spans="1:25" ht="32.1" customHeight="1" x14ac:dyDescent="0.25">
      <c r="A295" s="1">
        <v>12775101</v>
      </c>
      <c r="B295" t="s">
        <v>290</v>
      </c>
      <c r="C295" t="s">
        <v>135</v>
      </c>
      <c r="D295" s="1">
        <v>2018</v>
      </c>
      <c r="E295" t="s">
        <v>26</v>
      </c>
      <c r="F295" t="s">
        <v>27</v>
      </c>
      <c r="G295" t="s">
        <v>57</v>
      </c>
      <c r="H295" t="s">
        <v>29</v>
      </c>
      <c r="I295" s="1" t="s">
        <v>45</v>
      </c>
      <c r="J295" s="1">
        <v>0.75</v>
      </c>
      <c r="K295" s="7">
        <v>1113.2</v>
      </c>
      <c r="L295">
        <v>24</v>
      </c>
      <c r="M295" s="7">
        <f>Tabell1[[#This Row],[Salgspris]]*Tabell1[[#This Row],[Totalt antall]]</f>
        <v>26716.800000000003</v>
      </c>
      <c r="N295">
        <v>12</v>
      </c>
      <c r="O295">
        <v>3</v>
      </c>
      <c r="Q295">
        <v>3</v>
      </c>
      <c r="R295">
        <v>3</v>
      </c>
      <c r="U295">
        <v>3</v>
      </c>
      <c r="X295"/>
      <c r="Y295" s="3" t="s">
        <v>31</v>
      </c>
    </row>
    <row r="296" spans="1:25" ht="32.1" customHeight="1" x14ac:dyDescent="0.25">
      <c r="A296" s="1">
        <v>12776401</v>
      </c>
      <c r="B296" t="s">
        <v>292</v>
      </c>
      <c r="C296" t="s">
        <v>95</v>
      </c>
      <c r="D296" s="1">
        <v>2018</v>
      </c>
      <c r="E296" t="s">
        <v>26</v>
      </c>
      <c r="F296" t="s">
        <v>27</v>
      </c>
      <c r="G296" t="s">
        <v>57</v>
      </c>
      <c r="H296" t="s">
        <v>29</v>
      </c>
      <c r="I296" s="1" t="s">
        <v>45</v>
      </c>
      <c r="J296" s="1">
        <v>0.75</v>
      </c>
      <c r="K296" s="7">
        <v>1099.9000000000001</v>
      </c>
      <c r="L296">
        <v>60</v>
      </c>
      <c r="M296" s="7">
        <f>Tabell1[[#This Row],[Salgspris]]*Tabell1[[#This Row],[Totalt antall]]</f>
        <v>65994</v>
      </c>
      <c r="N296">
        <v>18</v>
      </c>
      <c r="O296">
        <v>6</v>
      </c>
      <c r="P296">
        <v>6</v>
      </c>
      <c r="U296">
        <v>12</v>
      </c>
      <c r="V296">
        <v>6</v>
      </c>
      <c r="W296">
        <v>6</v>
      </c>
      <c r="X296">
        <v>6</v>
      </c>
      <c r="Y296" s="3"/>
    </row>
    <row r="297" spans="1:25" ht="32.1" customHeight="1" x14ac:dyDescent="0.25">
      <c r="A297" s="1">
        <v>12778501</v>
      </c>
      <c r="B297" t="s">
        <v>292</v>
      </c>
      <c r="C297" t="s">
        <v>110</v>
      </c>
      <c r="D297" s="1">
        <v>2018</v>
      </c>
      <c r="E297" t="s">
        <v>26</v>
      </c>
      <c r="F297" t="s">
        <v>27</v>
      </c>
      <c r="G297" t="s">
        <v>57</v>
      </c>
      <c r="I297" s="1" t="s">
        <v>45</v>
      </c>
      <c r="J297" s="1">
        <v>0.75</v>
      </c>
      <c r="K297" s="7">
        <v>799.9</v>
      </c>
      <c r="L297">
        <v>36</v>
      </c>
      <c r="M297" s="7">
        <f>Tabell1[[#This Row],[Salgspris]]*Tabell1[[#This Row],[Totalt antall]]</f>
        <v>28796.399999999998</v>
      </c>
      <c r="N297">
        <v>18</v>
      </c>
      <c r="O297">
        <v>6</v>
      </c>
      <c r="Q297">
        <v>6</v>
      </c>
      <c r="U297">
        <v>6</v>
      </c>
      <c r="X297"/>
      <c r="Y297" s="3"/>
    </row>
    <row r="298" spans="1:25" ht="32.1" customHeight="1" x14ac:dyDescent="0.25">
      <c r="A298" s="1">
        <v>12776501</v>
      </c>
      <c r="B298" t="s">
        <v>292</v>
      </c>
      <c r="C298" t="s">
        <v>96</v>
      </c>
      <c r="D298" s="1">
        <v>2018</v>
      </c>
      <c r="E298" t="s">
        <v>26</v>
      </c>
      <c r="F298" t="s">
        <v>27</v>
      </c>
      <c r="G298" t="s">
        <v>57</v>
      </c>
      <c r="H298" t="s">
        <v>29</v>
      </c>
      <c r="I298" s="1" t="s">
        <v>45</v>
      </c>
      <c r="J298" s="1">
        <v>0.75</v>
      </c>
      <c r="K298" s="7">
        <v>1099.9000000000001</v>
      </c>
      <c r="L298">
        <v>60</v>
      </c>
      <c r="M298" s="7">
        <f>Tabell1[[#This Row],[Salgspris]]*Tabell1[[#This Row],[Totalt antall]]</f>
        <v>65994</v>
      </c>
      <c r="N298">
        <v>18</v>
      </c>
      <c r="Q298">
        <v>6</v>
      </c>
      <c r="R298">
        <v>6</v>
      </c>
      <c r="S298">
        <v>6</v>
      </c>
      <c r="T298">
        <v>6</v>
      </c>
      <c r="U298">
        <v>12</v>
      </c>
      <c r="V298">
        <v>6</v>
      </c>
      <c r="X298"/>
      <c r="Y298" s="3"/>
    </row>
    <row r="299" spans="1:25" ht="32.1" customHeight="1" x14ac:dyDescent="0.25">
      <c r="A299" s="1">
        <v>12778601</v>
      </c>
      <c r="B299" t="s">
        <v>292</v>
      </c>
      <c r="C299" t="s">
        <v>58</v>
      </c>
      <c r="D299" s="1">
        <v>2018</v>
      </c>
      <c r="E299" t="s">
        <v>26</v>
      </c>
      <c r="F299" t="s">
        <v>27</v>
      </c>
      <c r="G299" t="s">
        <v>57</v>
      </c>
      <c r="I299" s="1" t="s">
        <v>45</v>
      </c>
      <c r="J299" s="1">
        <v>0.75</v>
      </c>
      <c r="K299" s="7">
        <v>799.9</v>
      </c>
      <c r="L299">
        <v>84</v>
      </c>
      <c r="M299" s="7">
        <f>Tabell1[[#This Row],[Salgspris]]*Tabell1[[#This Row],[Totalt antall]]</f>
        <v>67191.599999999991</v>
      </c>
      <c r="N299">
        <v>36</v>
      </c>
      <c r="O299">
        <v>6</v>
      </c>
      <c r="P299">
        <v>6</v>
      </c>
      <c r="Q299">
        <v>6</v>
      </c>
      <c r="S299">
        <v>6</v>
      </c>
      <c r="T299">
        <v>6</v>
      </c>
      <c r="U299">
        <v>12</v>
      </c>
      <c r="V299">
        <v>6</v>
      </c>
      <c r="X299"/>
      <c r="Y299" s="3"/>
    </row>
    <row r="300" spans="1:25" ht="32.1" customHeight="1" x14ac:dyDescent="0.25">
      <c r="A300" s="1">
        <v>12778401</v>
      </c>
      <c r="B300" t="s">
        <v>292</v>
      </c>
      <c r="C300" t="s">
        <v>293</v>
      </c>
      <c r="D300" s="1">
        <v>2018</v>
      </c>
      <c r="E300" t="s">
        <v>26</v>
      </c>
      <c r="F300" t="s">
        <v>27</v>
      </c>
      <c r="G300" t="s">
        <v>57</v>
      </c>
      <c r="H300" t="s">
        <v>29</v>
      </c>
      <c r="I300" s="1" t="s">
        <v>45</v>
      </c>
      <c r="J300" s="1">
        <v>0.75</v>
      </c>
      <c r="K300" s="7">
        <v>1099.9000000000001</v>
      </c>
      <c r="L300">
        <v>60</v>
      </c>
      <c r="M300" s="7">
        <f>Tabell1[[#This Row],[Salgspris]]*Tabell1[[#This Row],[Totalt antall]]</f>
        <v>65994</v>
      </c>
      <c r="N300">
        <v>24</v>
      </c>
      <c r="O300">
        <v>6</v>
      </c>
      <c r="P300">
        <v>6</v>
      </c>
      <c r="Q300">
        <v>6</v>
      </c>
      <c r="R300">
        <v>6</v>
      </c>
      <c r="S300">
        <v>6</v>
      </c>
      <c r="T300">
        <v>6</v>
      </c>
      <c r="X300"/>
      <c r="Y300" s="3"/>
    </row>
    <row r="301" spans="1:25" ht="32.1" customHeight="1" x14ac:dyDescent="0.25">
      <c r="A301" s="1">
        <v>12776601</v>
      </c>
      <c r="B301" t="s">
        <v>292</v>
      </c>
      <c r="C301" t="s">
        <v>52</v>
      </c>
      <c r="D301" s="1">
        <v>2018</v>
      </c>
      <c r="E301" t="s">
        <v>26</v>
      </c>
      <c r="F301" t="s">
        <v>27</v>
      </c>
      <c r="I301" s="1" t="s">
        <v>45</v>
      </c>
      <c r="J301" s="1">
        <v>0.75</v>
      </c>
      <c r="K301" s="7">
        <v>429.9</v>
      </c>
      <c r="L301">
        <v>120</v>
      </c>
      <c r="M301" s="7">
        <f>Tabell1[[#This Row],[Salgspris]]*Tabell1[[#This Row],[Totalt antall]]</f>
        <v>51588</v>
      </c>
      <c r="N301">
        <v>36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X301"/>
      <c r="Y301" s="3"/>
    </row>
    <row r="302" spans="1:25" ht="32.1" customHeight="1" x14ac:dyDescent="0.25">
      <c r="A302" s="1">
        <v>12776301</v>
      </c>
      <c r="B302" t="s">
        <v>292</v>
      </c>
      <c r="C302" t="s">
        <v>294</v>
      </c>
      <c r="D302" s="1">
        <v>2018</v>
      </c>
      <c r="E302" t="s">
        <v>26</v>
      </c>
      <c r="F302" t="s">
        <v>27</v>
      </c>
      <c r="G302" t="s">
        <v>116</v>
      </c>
      <c r="H302" t="s">
        <v>29</v>
      </c>
      <c r="I302" s="1" t="s">
        <v>30</v>
      </c>
      <c r="J302" s="1">
        <v>0.75</v>
      </c>
      <c r="K302" s="7">
        <v>621.1</v>
      </c>
      <c r="L302">
        <v>60</v>
      </c>
      <c r="M302" s="7">
        <f>Tabell1[[#This Row],[Salgspris]]*Tabell1[[#This Row],[Totalt antall]]</f>
        <v>37266</v>
      </c>
      <c r="N302">
        <v>24</v>
      </c>
      <c r="O302">
        <v>6</v>
      </c>
      <c r="P302">
        <v>6</v>
      </c>
      <c r="Q302">
        <v>6</v>
      </c>
      <c r="R302">
        <v>6</v>
      </c>
      <c r="S302">
        <v>6</v>
      </c>
      <c r="T302">
        <v>6</v>
      </c>
      <c r="X302"/>
      <c r="Y302" s="3"/>
    </row>
    <row r="303" spans="1:25" ht="32.1" customHeight="1" x14ac:dyDescent="0.25">
      <c r="A303" s="1">
        <v>12757701</v>
      </c>
      <c r="B303" t="s">
        <v>295</v>
      </c>
      <c r="C303" t="s">
        <v>296</v>
      </c>
      <c r="D303" s="1">
        <v>2018</v>
      </c>
      <c r="E303" t="s">
        <v>26</v>
      </c>
      <c r="F303" t="s">
        <v>27</v>
      </c>
      <c r="G303" t="s">
        <v>297</v>
      </c>
      <c r="H303" t="s">
        <v>29</v>
      </c>
      <c r="I303" s="1" t="s">
        <v>45</v>
      </c>
      <c r="J303" s="1">
        <v>0.75</v>
      </c>
      <c r="K303" s="7">
        <v>429.6</v>
      </c>
      <c r="L303">
        <v>120</v>
      </c>
      <c r="M303" s="7">
        <f>Tabell1[[#This Row],[Salgspris]]*Tabell1[[#This Row],[Totalt antall]]</f>
        <v>51552</v>
      </c>
      <c r="N303">
        <v>24</v>
      </c>
      <c r="O303">
        <v>12</v>
      </c>
      <c r="P303">
        <v>6</v>
      </c>
      <c r="Q303">
        <v>12</v>
      </c>
      <c r="R303">
        <v>12</v>
      </c>
      <c r="S303">
        <v>6</v>
      </c>
      <c r="T303">
        <v>12</v>
      </c>
      <c r="U303">
        <v>24</v>
      </c>
      <c r="V303">
        <v>12</v>
      </c>
      <c r="X303"/>
      <c r="Y303" s="3"/>
    </row>
    <row r="304" spans="1:25" ht="32.1" customHeight="1" x14ac:dyDescent="0.25">
      <c r="A304" s="1">
        <v>12757501</v>
      </c>
      <c r="B304" t="s">
        <v>295</v>
      </c>
      <c r="C304" t="s">
        <v>298</v>
      </c>
      <c r="D304" s="1">
        <v>2018</v>
      </c>
      <c r="E304" t="s">
        <v>26</v>
      </c>
      <c r="F304" t="s">
        <v>27</v>
      </c>
      <c r="G304" t="s">
        <v>297</v>
      </c>
      <c r="H304" t="s">
        <v>29</v>
      </c>
      <c r="I304" s="1" t="s">
        <v>45</v>
      </c>
      <c r="J304" s="1">
        <v>0.75</v>
      </c>
      <c r="K304" s="7">
        <v>451.4</v>
      </c>
      <c r="L304">
        <v>120</v>
      </c>
      <c r="M304" s="7">
        <f>Tabell1[[#This Row],[Salgspris]]*Tabell1[[#This Row],[Totalt antall]]</f>
        <v>54168</v>
      </c>
      <c r="N304">
        <v>24</v>
      </c>
      <c r="O304">
        <v>12</v>
      </c>
      <c r="P304">
        <v>12</v>
      </c>
      <c r="Q304">
        <v>12</v>
      </c>
      <c r="R304">
        <v>6</v>
      </c>
      <c r="S304">
        <v>6</v>
      </c>
      <c r="T304">
        <v>6</v>
      </c>
      <c r="U304">
        <v>24</v>
      </c>
      <c r="V304">
        <v>18</v>
      </c>
      <c r="X304"/>
      <c r="Y304" s="3"/>
    </row>
    <row r="305" spans="1:25" ht="32.1" customHeight="1" x14ac:dyDescent="0.25">
      <c r="A305" s="1">
        <v>12752801</v>
      </c>
      <c r="B305" t="s">
        <v>295</v>
      </c>
      <c r="C305" t="s">
        <v>299</v>
      </c>
      <c r="D305" s="1">
        <v>2018</v>
      </c>
      <c r="E305" t="s">
        <v>26</v>
      </c>
      <c r="F305" t="s">
        <v>27</v>
      </c>
      <c r="G305" t="s">
        <v>297</v>
      </c>
      <c r="H305" t="s">
        <v>29</v>
      </c>
      <c r="I305" s="1" t="s">
        <v>30</v>
      </c>
      <c r="J305" s="1">
        <v>0.75</v>
      </c>
      <c r="K305" s="7">
        <v>451.4</v>
      </c>
      <c r="L305">
        <v>180</v>
      </c>
      <c r="M305" s="7">
        <f>Tabell1[[#This Row],[Salgspris]]*Tabell1[[#This Row],[Totalt antall]]</f>
        <v>81252</v>
      </c>
      <c r="N305">
        <v>24</v>
      </c>
      <c r="O305">
        <v>18</v>
      </c>
      <c r="P305">
        <v>12</v>
      </c>
      <c r="Q305">
        <v>18</v>
      </c>
      <c r="R305">
        <v>12</v>
      </c>
      <c r="S305">
        <v>12</v>
      </c>
      <c r="T305">
        <v>24</v>
      </c>
      <c r="U305">
        <v>30</v>
      </c>
      <c r="V305">
        <v>18</v>
      </c>
      <c r="W305">
        <v>6</v>
      </c>
      <c r="X305">
        <v>6</v>
      </c>
      <c r="Y305" s="3"/>
    </row>
    <row r="306" spans="1:25" ht="32.1" customHeight="1" x14ac:dyDescent="0.25">
      <c r="A306" s="1">
        <v>12752701</v>
      </c>
      <c r="B306" t="s">
        <v>295</v>
      </c>
      <c r="C306" t="s">
        <v>300</v>
      </c>
      <c r="D306" s="1">
        <v>2018</v>
      </c>
      <c r="E306" t="s">
        <v>26</v>
      </c>
      <c r="F306" t="s">
        <v>27</v>
      </c>
      <c r="G306" t="s">
        <v>297</v>
      </c>
      <c r="H306" t="s">
        <v>29</v>
      </c>
      <c r="I306" s="1" t="s">
        <v>30</v>
      </c>
      <c r="J306" s="1">
        <v>0.75</v>
      </c>
      <c r="K306" s="7">
        <v>429.6</v>
      </c>
      <c r="L306">
        <v>120</v>
      </c>
      <c r="M306" s="7">
        <f>Tabell1[[#This Row],[Salgspris]]*Tabell1[[#This Row],[Totalt antall]]</f>
        <v>51552</v>
      </c>
      <c r="N306">
        <v>24</v>
      </c>
      <c r="O306">
        <v>12</v>
      </c>
      <c r="P306">
        <v>6</v>
      </c>
      <c r="Q306">
        <v>12</v>
      </c>
      <c r="R306">
        <v>6</v>
      </c>
      <c r="S306">
        <v>12</v>
      </c>
      <c r="T306">
        <v>6</v>
      </c>
      <c r="U306">
        <v>24</v>
      </c>
      <c r="V306">
        <v>18</v>
      </c>
      <c r="X306"/>
      <c r="Y306" s="3"/>
    </row>
    <row r="307" spans="1:25" ht="32.1" customHeight="1" x14ac:dyDescent="0.25">
      <c r="A307" s="1">
        <v>12731601</v>
      </c>
      <c r="B307" t="s">
        <v>301</v>
      </c>
      <c r="C307" t="s">
        <v>302</v>
      </c>
      <c r="D307" s="1">
        <v>2018</v>
      </c>
      <c r="E307" t="s">
        <v>26</v>
      </c>
      <c r="F307" t="s">
        <v>27</v>
      </c>
      <c r="G307" t="s">
        <v>69</v>
      </c>
      <c r="H307" t="s">
        <v>29</v>
      </c>
      <c r="I307" s="1" t="s">
        <v>303</v>
      </c>
      <c r="J307" s="1">
        <v>0.75</v>
      </c>
      <c r="K307" s="7">
        <v>819.3</v>
      </c>
      <c r="L307">
        <v>120</v>
      </c>
      <c r="M307" s="7">
        <f>Tabell1[[#This Row],[Salgspris]]*Tabell1[[#This Row],[Totalt antall]]</f>
        <v>98316</v>
      </c>
      <c r="N307">
        <v>24</v>
      </c>
      <c r="O307">
        <v>12</v>
      </c>
      <c r="P307">
        <v>12</v>
      </c>
      <c r="Q307">
        <v>12</v>
      </c>
      <c r="R307">
        <v>12</v>
      </c>
      <c r="S307">
        <v>12</v>
      </c>
      <c r="T307">
        <v>12</v>
      </c>
      <c r="U307">
        <v>24</v>
      </c>
      <c r="X307"/>
      <c r="Y307" s="3"/>
    </row>
    <row r="308" spans="1:25" ht="32.1" customHeight="1" x14ac:dyDescent="0.25">
      <c r="A308" s="1">
        <v>12731701</v>
      </c>
      <c r="B308" t="s">
        <v>301</v>
      </c>
      <c r="C308" t="s">
        <v>302</v>
      </c>
      <c r="D308" s="1">
        <v>2018</v>
      </c>
      <c r="E308" t="s">
        <v>26</v>
      </c>
      <c r="F308" t="s">
        <v>27</v>
      </c>
      <c r="G308" t="s">
        <v>69</v>
      </c>
      <c r="H308" t="s">
        <v>29</v>
      </c>
      <c r="I308" s="1" t="s">
        <v>30</v>
      </c>
      <c r="J308" s="1">
        <v>0.75</v>
      </c>
      <c r="K308" s="7">
        <v>724.3</v>
      </c>
      <c r="L308">
        <v>120</v>
      </c>
      <c r="M308" s="7">
        <f>Tabell1[[#This Row],[Salgspris]]*Tabell1[[#This Row],[Totalt antall]]</f>
        <v>86916</v>
      </c>
      <c r="N308">
        <v>24</v>
      </c>
      <c r="O308">
        <v>12</v>
      </c>
      <c r="P308">
        <v>12</v>
      </c>
      <c r="Q308">
        <v>12</v>
      </c>
      <c r="R308">
        <v>12</v>
      </c>
      <c r="S308">
        <v>12</v>
      </c>
      <c r="T308">
        <v>12</v>
      </c>
      <c r="U308">
        <v>24</v>
      </c>
      <c r="X308"/>
      <c r="Y308" s="3"/>
    </row>
    <row r="309" spans="1:25" ht="32.1" customHeight="1" x14ac:dyDescent="0.25">
      <c r="A309" s="1">
        <v>12770501</v>
      </c>
      <c r="B309" t="s">
        <v>304</v>
      </c>
      <c r="C309" t="s">
        <v>95</v>
      </c>
      <c r="D309" s="1">
        <v>2017</v>
      </c>
      <c r="E309" t="s">
        <v>26</v>
      </c>
      <c r="F309" t="s">
        <v>27</v>
      </c>
      <c r="G309" t="s">
        <v>57</v>
      </c>
      <c r="H309" t="s">
        <v>29</v>
      </c>
      <c r="I309" s="1" t="s">
        <v>45</v>
      </c>
      <c r="J309" s="1">
        <v>0.75</v>
      </c>
      <c r="K309" s="7">
        <v>1700.6</v>
      </c>
      <c r="L309">
        <v>12</v>
      </c>
      <c r="M309" s="7">
        <f>Tabell1[[#This Row],[Salgspris]]*Tabell1[[#This Row],[Totalt antall]]</f>
        <v>20407.199999999997</v>
      </c>
      <c r="N309">
        <v>6</v>
      </c>
      <c r="O309">
        <v>2</v>
      </c>
      <c r="Q309">
        <v>2</v>
      </c>
      <c r="U309">
        <v>2</v>
      </c>
      <c r="X309"/>
      <c r="Y309" s="3" t="s">
        <v>305</v>
      </c>
    </row>
    <row r="310" spans="1:25" ht="32.1" customHeight="1" x14ac:dyDescent="0.25">
      <c r="A310" s="1">
        <v>12769901</v>
      </c>
      <c r="B310" t="s">
        <v>304</v>
      </c>
      <c r="C310" t="s">
        <v>306</v>
      </c>
      <c r="D310" s="1">
        <v>2017</v>
      </c>
      <c r="E310" t="s">
        <v>26</v>
      </c>
      <c r="F310" t="s">
        <v>27</v>
      </c>
      <c r="G310" t="s">
        <v>57</v>
      </c>
      <c r="I310" s="1" t="s">
        <v>45</v>
      </c>
      <c r="J310" s="1">
        <v>0.75</v>
      </c>
      <c r="K310" s="7">
        <v>1030.5</v>
      </c>
      <c r="L310">
        <v>36</v>
      </c>
      <c r="M310" s="7">
        <f>Tabell1[[#This Row],[Salgspris]]*Tabell1[[#This Row],[Totalt antall]]</f>
        <v>37098</v>
      </c>
      <c r="N310">
        <v>18</v>
      </c>
      <c r="O310">
        <v>3</v>
      </c>
      <c r="Q310">
        <v>3</v>
      </c>
      <c r="S310">
        <v>3</v>
      </c>
      <c r="T310">
        <v>3</v>
      </c>
      <c r="W310">
        <v>3</v>
      </c>
      <c r="X310">
        <v>3</v>
      </c>
      <c r="Y310" s="3" t="s">
        <v>305</v>
      </c>
    </row>
    <row r="311" spans="1:25" ht="32.1" customHeight="1" x14ac:dyDescent="0.25">
      <c r="A311" s="1">
        <v>12770201</v>
      </c>
      <c r="B311" t="s">
        <v>304</v>
      </c>
      <c r="C311" t="s">
        <v>96</v>
      </c>
      <c r="D311" s="1">
        <v>2017</v>
      </c>
      <c r="E311" t="s">
        <v>26</v>
      </c>
      <c r="F311" t="s">
        <v>27</v>
      </c>
      <c r="G311" t="s">
        <v>57</v>
      </c>
      <c r="H311" t="s">
        <v>29</v>
      </c>
      <c r="I311" s="1" t="s">
        <v>45</v>
      </c>
      <c r="J311" s="1">
        <v>0.75</v>
      </c>
      <c r="K311" s="7">
        <v>1700.6</v>
      </c>
      <c r="L311">
        <v>6</v>
      </c>
      <c r="M311" s="7">
        <f>Tabell1[[#This Row],[Salgspris]]*Tabell1[[#This Row],[Totalt antall]]</f>
        <v>10203.599999999999</v>
      </c>
      <c r="N311">
        <v>3</v>
      </c>
      <c r="O311">
        <v>2</v>
      </c>
      <c r="P311">
        <v>1</v>
      </c>
      <c r="X311"/>
      <c r="Y311" s="3" t="s">
        <v>305</v>
      </c>
    </row>
    <row r="312" spans="1:25" ht="32.1" customHeight="1" x14ac:dyDescent="0.25">
      <c r="A312" s="1">
        <v>12770001</v>
      </c>
      <c r="B312" t="s">
        <v>304</v>
      </c>
      <c r="C312" t="s">
        <v>138</v>
      </c>
      <c r="D312" s="1">
        <v>2017</v>
      </c>
      <c r="E312" t="s">
        <v>26</v>
      </c>
      <c r="F312" t="s">
        <v>27</v>
      </c>
      <c r="G312" t="s">
        <v>57</v>
      </c>
      <c r="H312" t="s">
        <v>29</v>
      </c>
      <c r="I312" s="1" t="s">
        <v>45</v>
      </c>
      <c r="J312" s="1">
        <v>0.75</v>
      </c>
      <c r="K312" s="7">
        <v>1687.6</v>
      </c>
      <c r="L312">
        <v>36</v>
      </c>
      <c r="M312" s="7">
        <f>Tabell1[[#This Row],[Salgspris]]*Tabell1[[#This Row],[Totalt antall]]</f>
        <v>60753.599999999999</v>
      </c>
      <c r="N312">
        <v>18</v>
      </c>
      <c r="O312">
        <v>3</v>
      </c>
      <c r="P312">
        <v>3</v>
      </c>
      <c r="Q312">
        <v>3</v>
      </c>
      <c r="R312">
        <v>3</v>
      </c>
      <c r="U312">
        <v>3</v>
      </c>
      <c r="V312">
        <v>3</v>
      </c>
      <c r="X312"/>
      <c r="Y312" s="3" t="s">
        <v>305</v>
      </c>
    </row>
    <row r="313" spans="1:25" ht="32.1" customHeight="1" x14ac:dyDescent="0.25">
      <c r="A313" s="1">
        <v>12770301</v>
      </c>
      <c r="B313" t="s">
        <v>304</v>
      </c>
      <c r="C313" t="s">
        <v>59</v>
      </c>
      <c r="D313" s="1">
        <v>2017</v>
      </c>
      <c r="E313" t="s">
        <v>26</v>
      </c>
      <c r="F313" t="s">
        <v>27</v>
      </c>
      <c r="G313" t="s">
        <v>57</v>
      </c>
      <c r="H313" t="s">
        <v>29</v>
      </c>
      <c r="I313" s="1" t="s">
        <v>45</v>
      </c>
      <c r="J313" s="1">
        <v>0.75</v>
      </c>
      <c r="K313" s="7">
        <v>1917.1</v>
      </c>
      <c r="L313">
        <v>2</v>
      </c>
      <c r="M313" s="7">
        <f>Tabell1[[#This Row],[Salgspris]]*Tabell1[[#This Row],[Totalt antall]]</f>
        <v>3834.2</v>
      </c>
      <c r="N313">
        <v>1</v>
      </c>
      <c r="O313">
        <v>1</v>
      </c>
      <c r="X313"/>
      <c r="Y313" s="3" t="s">
        <v>305</v>
      </c>
    </row>
    <row r="314" spans="1:25" ht="32.1" customHeight="1" x14ac:dyDescent="0.25">
      <c r="A314" s="1">
        <v>12730601</v>
      </c>
      <c r="B314" t="s">
        <v>307</v>
      </c>
      <c r="C314" t="s">
        <v>308</v>
      </c>
      <c r="D314" s="1">
        <v>2018</v>
      </c>
      <c r="E314" t="s">
        <v>26</v>
      </c>
      <c r="F314" t="s">
        <v>27</v>
      </c>
      <c r="G314" t="s">
        <v>57</v>
      </c>
      <c r="I314" s="1" t="s">
        <v>45</v>
      </c>
      <c r="J314" s="1">
        <v>0.75</v>
      </c>
      <c r="K314" s="7">
        <v>604.29999999999995</v>
      </c>
      <c r="L314">
        <v>48</v>
      </c>
      <c r="M314" s="7">
        <f>Tabell1[[#This Row],[Salgspris]]*Tabell1[[#This Row],[Totalt antall]]</f>
        <v>29006.399999999998</v>
      </c>
      <c r="N314">
        <v>24</v>
      </c>
      <c r="O314">
        <v>3</v>
      </c>
      <c r="P314">
        <v>3</v>
      </c>
      <c r="Q314">
        <v>3</v>
      </c>
      <c r="R314">
        <v>3</v>
      </c>
      <c r="S314">
        <v>3</v>
      </c>
      <c r="T314">
        <v>3</v>
      </c>
      <c r="U314">
        <v>3</v>
      </c>
      <c r="V314">
        <v>3</v>
      </c>
      <c r="X314"/>
      <c r="Y314" s="3"/>
    </row>
    <row r="315" spans="1:25" ht="32.1" customHeight="1" x14ac:dyDescent="0.25">
      <c r="A315" s="1">
        <v>12730801</v>
      </c>
      <c r="B315" t="s">
        <v>307</v>
      </c>
      <c r="C315" t="s">
        <v>309</v>
      </c>
      <c r="D315" s="1">
        <v>2018</v>
      </c>
      <c r="E315" t="s">
        <v>26</v>
      </c>
      <c r="F315" t="s">
        <v>27</v>
      </c>
      <c r="G315" t="s">
        <v>112</v>
      </c>
      <c r="H315" t="s">
        <v>29</v>
      </c>
      <c r="I315" s="1" t="s">
        <v>30</v>
      </c>
      <c r="J315" s="1">
        <v>0.75</v>
      </c>
      <c r="K315" s="7">
        <v>464.3</v>
      </c>
      <c r="L315">
        <v>120</v>
      </c>
      <c r="M315" s="7">
        <f>Tabell1[[#This Row],[Salgspris]]*Tabell1[[#This Row],[Totalt antall]]</f>
        <v>55716</v>
      </c>
      <c r="N315">
        <v>36</v>
      </c>
      <c r="O315">
        <v>12</v>
      </c>
      <c r="P315">
        <v>12</v>
      </c>
      <c r="Q315">
        <v>12</v>
      </c>
      <c r="R315">
        <v>12</v>
      </c>
      <c r="S315">
        <v>12</v>
      </c>
      <c r="T315">
        <v>12</v>
      </c>
      <c r="U315">
        <v>12</v>
      </c>
      <c r="X315"/>
      <c r="Y315" s="3"/>
    </row>
    <row r="316" spans="1:25" ht="32.1" customHeight="1" x14ac:dyDescent="0.25">
      <c r="A316" s="1">
        <v>12730701</v>
      </c>
      <c r="B316" t="s">
        <v>307</v>
      </c>
      <c r="C316" t="s">
        <v>310</v>
      </c>
      <c r="D316" s="1">
        <v>2018</v>
      </c>
      <c r="E316" t="s">
        <v>26</v>
      </c>
      <c r="F316" t="s">
        <v>27</v>
      </c>
      <c r="G316" t="s">
        <v>112</v>
      </c>
      <c r="H316" t="s">
        <v>29</v>
      </c>
      <c r="I316" s="1" t="s">
        <v>30</v>
      </c>
      <c r="J316" s="1">
        <v>0.75</v>
      </c>
      <c r="K316" s="7">
        <v>464.3</v>
      </c>
      <c r="L316">
        <v>240</v>
      </c>
      <c r="M316" s="7">
        <f>Tabell1[[#This Row],[Salgspris]]*Tabell1[[#This Row],[Totalt antall]]</f>
        <v>111432</v>
      </c>
      <c r="N316">
        <v>48</v>
      </c>
      <c r="O316">
        <v>24</v>
      </c>
      <c r="P316">
        <v>12</v>
      </c>
      <c r="Q316">
        <v>24</v>
      </c>
      <c r="R316">
        <v>12</v>
      </c>
      <c r="S316">
        <v>12</v>
      </c>
      <c r="T316">
        <v>12</v>
      </c>
      <c r="U316">
        <v>48</v>
      </c>
      <c r="V316">
        <v>24</v>
      </c>
      <c r="W316">
        <v>12</v>
      </c>
      <c r="X316">
        <v>12</v>
      </c>
      <c r="Y316" s="3"/>
    </row>
    <row r="317" spans="1:25" ht="32.1" customHeight="1" x14ac:dyDescent="0.25">
      <c r="A317" s="1">
        <v>12730901</v>
      </c>
      <c r="B317" t="s">
        <v>307</v>
      </c>
      <c r="C317" t="s">
        <v>311</v>
      </c>
      <c r="D317" s="1">
        <v>2018</v>
      </c>
      <c r="E317" t="s">
        <v>26</v>
      </c>
      <c r="F317" t="s">
        <v>27</v>
      </c>
      <c r="G317" t="s">
        <v>112</v>
      </c>
      <c r="H317" t="s">
        <v>29</v>
      </c>
      <c r="I317" s="1" t="s">
        <v>30</v>
      </c>
      <c r="J317" s="1">
        <v>0.75</v>
      </c>
      <c r="K317" s="7">
        <v>464.3</v>
      </c>
      <c r="L317">
        <v>240</v>
      </c>
      <c r="M317" s="7">
        <f>Tabell1[[#This Row],[Salgspris]]*Tabell1[[#This Row],[Totalt antall]]</f>
        <v>111432</v>
      </c>
      <c r="N317">
        <v>48</v>
      </c>
      <c r="O317">
        <v>24</v>
      </c>
      <c r="P317">
        <v>12</v>
      </c>
      <c r="Q317">
        <v>24</v>
      </c>
      <c r="R317">
        <v>12</v>
      </c>
      <c r="S317">
        <v>12</v>
      </c>
      <c r="T317">
        <v>12</v>
      </c>
      <c r="U317">
        <v>48</v>
      </c>
      <c r="V317">
        <v>24</v>
      </c>
      <c r="W317">
        <v>12</v>
      </c>
      <c r="X317">
        <v>12</v>
      </c>
      <c r="Y317" s="3"/>
    </row>
    <row r="318" spans="1:25" ht="32.1" customHeight="1" x14ac:dyDescent="0.25">
      <c r="A318" s="1">
        <v>12764001</v>
      </c>
      <c r="B318" t="s">
        <v>312</v>
      </c>
      <c r="C318" t="s">
        <v>205</v>
      </c>
      <c r="D318" s="1">
        <v>2018</v>
      </c>
      <c r="E318" t="s">
        <v>26</v>
      </c>
      <c r="F318" t="s">
        <v>27</v>
      </c>
      <c r="G318" t="s">
        <v>63</v>
      </c>
      <c r="H318" t="s">
        <v>38</v>
      </c>
      <c r="I318" s="1" t="s">
        <v>30</v>
      </c>
      <c r="J318" s="1">
        <v>0.75</v>
      </c>
      <c r="K318" s="7">
        <v>1517.4</v>
      </c>
      <c r="L318">
        <v>12</v>
      </c>
      <c r="M318" s="7">
        <f>Tabell1[[#This Row],[Salgspris]]*Tabell1[[#This Row],[Totalt antall]]</f>
        <v>18208.800000000003</v>
      </c>
      <c r="N318">
        <v>6</v>
      </c>
      <c r="O318">
        <v>2</v>
      </c>
      <c r="Q318">
        <v>2</v>
      </c>
      <c r="U318">
        <v>2</v>
      </c>
      <c r="X318"/>
      <c r="Y318" s="3"/>
    </row>
    <row r="319" spans="1:25" ht="32.1" customHeight="1" x14ac:dyDescent="0.25">
      <c r="A319" s="1">
        <v>12764101</v>
      </c>
      <c r="B319" t="s">
        <v>312</v>
      </c>
      <c r="C319" t="s">
        <v>62</v>
      </c>
      <c r="D319" s="1">
        <v>2018</v>
      </c>
      <c r="E319" t="s">
        <v>26</v>
      </c>
      <c r="F319" t="s">
        <v>27</v>
      </c>
      <c r="G319" t="s">
        <v>63</v>
      </c>
      <c r="H319" t="s">
        <v>38</v>
      </c>
      <c r="I319" s="1" t="s">
        <v>30</v>
      </c>
      <c r="J319" s="1">
        <v>0.75</v>
      </c>
      <c r="K319" s="7">
        <v>2857.8</v>
      </c>
      <c r="L319">
        <v>6</v>
      </c>
      <c r="M319" s="7">
        <f>Tabell1[[#This Row],[Salgspris]]*Tabell1[[#This Row],[Totalt antall]]</f>
        <v>17146.800000000003</v>
      </c>
      <c r="N319">
        <v>3</v>
      </c>
      <c r="O319">
        <v>1</v>
      </c>
      <c r="Q319">
        <v>1</v>
      </c>
      <c r="U319">
        <v>1</v>
      </c>
      <c r="X319"/>
      <c r="Y319" s="3"/>
    </row>
    <row r="320" spans="1:25" ht="32.1" customHeight="1" x14ac:dyDescent="0.25">
      <c r="A320" s="1">
        <v>12763901</v>
      </c>
      <c r="B320" t="s">
        <v>312</v>
      </c>
      <c r="C320" t="s">
        <v>313</v>
      </c>
      <c r="D320" s="1">
        <v>2018</v>
      </c>
      <c r="E320" t="s">
        <v>26</v>
      </c>
      <c r="F320" t="s">
        <v>27</v>
      </c>
      <c r="G320" t="s">
        <v>74</v>
      </c>
      <c r="H320" t="s">
        <v>38</v>
      </c>
      <c r="I320" s="1" t="s">
        <v>30</v>
      </c>
      <c r="J320" s="1">
        <v>0.75</v>
      </c>
      <c r="K320" s="7">
        <v>6122.5</v>
      </c>
      <c r="L320">
        <v>12</v>
      </c>
      <c r="M320" s="7">
        <f>Tabell1[[#This Row],[Salgspris]]*Tabell1[[#This Row],[Totalt antall]]</f>
        <v>73470</v>
      </c>
      <c r="N320">
        <v>6</v>
      </c>
      <c r="O320">
        <v>2</v>
      </c>
      <c r="Q320">
        <v>2</v>
      </c>
      <c r="U320">
        <v>2</v>
      </c>
      <c r="X320"/>
      <c r="Y320" s="3"/>
    </row>
    <row r="321" spans="1:25" ht="32.1" customHeight="1" x14ac:dyDescent="0.25">
      <c r="A321" s="1">
        <v>12763301</v>
      </c>
      <c r="B321" t="s">
        <v>312</v>
      </c>
      <c r="C321" t="s">
        <v>314</v>
      </c>
      <c r="D321" s="1">
        <v>2018</v>
      </c>
      <c r="E321" t="s">
        <v>26</v>
      </c>
      <c r="F321" t="s">
        <v>27</v>
      </c>
      <c r="G321" t="s">
        <v>74</v>
      </c>
      <c r="H321" t="s">
        <v>29</v>
      </c>
      <c r="I321" s="1" t="s">
        <v>30</v>
      </c>
      <c r="J321" s="1">
        <v>0.75</v>
      </c>
      <c r="K321" s="7">
        <v>1049.5999999999999</v>
      </c>
      <c r="L321">
        <v>36</v>
      </c>
      <c r="M321" s="7">
        <f>Tabell1[[#This Row],[Salgspris]]*Tabell1[[#This Row],[Totalt antall]]</f>
        <v>37785.599999999999</v>
      </c>
      <c r="N321">
        <v>18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3</v>
      </c>
      <c r="X321"/>
      <c r="Y321" s="3"/>
    </row>
    <row r="322" spans="1:25" ht="32.1" customHeight="1" x14ac:dyDescent="0.25">
      <c r="A322" s="1">
        <v>12764201</v>
      </c>
      <c r="B322" t="s">
        <v>312</v>
      </c>
      <c r="C322" t="s">
        <v>216</v>
      </c>
      <c r="D322" s="1">
        <v>2018</v>
      </c>
      <c r="E322" t="s">
        <v>26</v>
      </c>
      <c r="F322" t="s">
        <v>27</v>
      </c>
      <c r="G322" t="s">
        <v>74</v>
      </c>
      <c r="H322" t="s">
        <v>29</v>
      </c>
      <c r="I322" s="1" t="s">
        <v>30</v>
      </c>
      <c r="J322" s="1">
        <v>0.75</v>
      </c>
      <c r="K322" s="7">
        <v>1506.6</v>
      </c>
      <c r="L322">
        <v>24</v>
      </c>
      <c r="M322" s="7">
        <f>Tabell1[[#This Row],[Salgspris]]*Tabell1[[#This Row],[Totalt antall]]</f>
        <v>36158.399999999994</v>
      </c>
      <c r="N322">
        <v>12</v>
      </c>
      <c r="O322">
        <v>3</v>
      </c>
      <c r="Q322">
        <v>3</v>
      </c>
      <c r="U322">
        <v>3</v>
      </c>
      <c r="V322">
        <v>3</v>
      </c>
      <c r="X322"/>
      <c r="Y322" s="3"/>
    </row>
    <row r="323" spans="1:25" ht="32.1" customHeight="1" x14ac:dyDescent="0.25">
      <c r="A323" s="1">
        <v>12763401</v>
      </c>
      <c r="B323" t="s">
        <v>312</v>
      </c>
      <c r="C323" t="s">
        <v>78</v>
      </c>
      <c r="D323" s="1">
        <v>2018</v>
      </c>
      <c r="E323" t="s">
        <v>26</v>
      </c>
      <c r="F323" t="s">
        <v>27</v>
      </c>
      <c r="I323" s="1" t="s">
        <v>30</v>
      </c>
      <c r="J323" s="1">
        <v>0.75</v>
      </c>
      <c r="K323" s="7">
        <v>342.6</v>
      </c>
      <c r="L323">
        <v>240</v>
      </c>
      <c r="M323" s="7">
        <f>Tabell1[[#This Row],[Salgspris]]*Tabell1[[#This Row],[Totalt antall]]</f>
        <v>82224</v>
      </c>
      <c r="N323">
        <v>24</v>
      </c>
      <c r="O323">
        <v>24</v>
      </c>
      <c r="P323">
        <v>12</v>
      </c>
      <c r="Q323">
        <v>24</v>
      </c>
      <c r="R323">
        <v>12</v>
      </c>
      <c r="S323">
        <v>12</v>
      </c>
      <c r="T323">
        <v>12</v>
      </c>
      <c r="U323">
        <v>60</v>
      </c>
      <c r="V323">
        <v>36</v>
      </c>
      <c r="W323">
        <v>12</v>
      </c>
      <c r="X323">
        <v>12</v>
      </c>
      <c r="Y323" s="3"/>
    </row>
    <row r="324" spans="1:25" ht="32.1" customHeight="1" x14ac:dyDescent="0.25">
      <c r="A324" s="1">
        <v>12739501</v>
      </c>
      <c r="B324" t="s">
        <v>315</v>
      </c>
      <c r="C324" t="s">
        <v>316</v>
      </c>
      <c r="D324" s="1">
        <v>2018</v>
      </c>
      <c r="E324" t="s">
        <v>26</v>
      </c>
      <c r="F324" t="s">
        <v>27</v>
      </c>
      <c r="G324" t="s">
        <v>37</v>
      </c>
      <c r="H324" t="s">
        <v>38</v>
      </c>
      <c r="I324" s="1" t="s">
        <v>30</v>
      </c>
      <c r="J324" s="1">
        <v>0.75</v>
      </c>
      <c r="K324" s="7">
        <v>3141.3</v>
      </c>
      <c r="L324">
        <v>108</v>
      </c>
      <c r="M324" s="7">
        <f>Tabell1[[#This Row],[Salgspris]]*Tabell1[[#This Row],[Totalt antall]]</f>
        <v>339260.4</v>
      </c>
      <c r="N324">
        <v>36</v>
      </c>
      <c r="O324">
        <v>12</v>
      </c>
      <c r="P324">
        <v>6</v>
      </c>
      <c r="Q324">
        <v>12</v>
      </c>
      <c r="R324">
        <v>6</v>
      </c>
      <c r="S324">
        <v>6</v>
      </c>
      <c r="T324">
        <v>6</v>
      </c>
      <c r="U324">
        <v>12</v>
      </c>
      <c r="V324">
        <v>12</v>
      </c>
      <c r="X324"/>
      <c r="Y324" s="3"/>
    </row>
    <row r="325" spans="1:25" ht="32.1" customHeight="1" x14ac:dyDescent="0.25">
      <c r="A325" s="1">
        <v>12762101</v>
      </c>
      <c r="B325" t="s">
        <v>317</v>
      </c>
      <c r="C325" t="s">
        <v>56</v>
      </c>
      <c r="D325" s="1">
        <v>2018</v>
      </c>
      <c r="E325" t="s">
        <v>26</v>
      </c>
      <c r="F325" t="s">
        <v>27</v>
      </c>
      <c r="G325" t="s">
        <v>57</v>
      </c>
      <c r="H325" t="s">
        <v>29</v>
      </c>
      <c r="I325" s="1" t="s">
        <v>45</v>
      </c>
      <c r="J325" s="1">
        <v>0.75</v>
      </c>
      <c r="K325" s="7">
        <v>719</v>
      </c>
      <c r="L325">
        <v>72</v>
      </c>
      <c r="M325" s="7">
        <f>Tabell1[[#This Row],[Salgspris]]*Tabell1[[#This Row],[Totalt antall]]</f>
        <v>51768</v>
      </c>
      <c r="N325">
        <v>36</v>
      </c>
      <c r="O325">
        <v>6</v>
      </c>
      <c r="P325">
        <v>6</v>
      </c>
      <c r="Q325">
        <v>6</v>
      </c>
      <c r="R325">
        <v>6</v>
      </c>
      <c r="W325">
        <v>6</v>
      </c>
      <c r="X325">
        <v>6</v>
      </c>
      <c r="Y325" s="3"/>
    </row>
    <row r="326" spans="1:25" ht="32.1" customHeight="1" x14ac:dyDescent="0.25">
      <c r="A326" s="1">
        <v>12761901</v>
      </c>
      <c r="B326" t="s">
        <v>317</v>
      </c>
      <c r="C326" t="s">
        <v>95</v>
      </c>
      <c r="D326" s="1">
        <v>2018</v>
      </c>
      <c r="E326" t="s">
        <v>26</v>
      </c>
      <c r="F326" t="s">
        <v>27</v>
      </c>
      <c r="G326" t="s">
        <v>57</v>
      </c>
      <c r="H326" t="s">
        <v>29</v>
      </c>
      <c r="I326" s="1" t="s">
        <v>45</v>
      </c>
      <c r="J326" s="1">
        <v>0.75</v>
      </c>
      <c r="K326" s="7">
        <v>826.8</v>
      </c>
      <c r="L326">
        <v>60</v>
      </c>
      <c r="M326" s="7">
        <f>Tabell1[[#This Row],[Salgspris]]*Tabell1[[#This Row],[Totalt antall]]</f>
        <v>49608</v>
      </c>
      <c r="N326">
        <v>24</v>
      </c>
      <c r="Q326">
        <v>6</v>
      </c>
      <c r="R326">
        <v>6</v>
      </c>
      <c r="S326">
        <v>6</v>
      </c>
      <c r="T326">
        <v>6</v>
      </c>
      <c r="U326">
        <v>6</v>
      </c>
      <c r="V326">
        <v>6</v>
      </c>
      <c r="X326"/>
      <c r="Y326" s="3"/>
    </row>
    <row r="327" spans="1:25" ht="32.1" customHeight="1" x14ac:dyDescent="0.25">
      <c r="A327" s="1">
        <v>12768701</v>
      </c>
      <c r="B327" t="s">
        <v>317</v>
      </c>
      <c r="C327" t="s">
        <v>318</v>
      </c>
      <c r="D327" s="1">
        <v>2018</v>
      </c>
      <c r="E327" t="s">
        <v>26</v>
      </c>
      <c r="F327" t="s">
        <v>27</v>
      </c>
      <c r="G327" t="s">
        <v>57</v>
      </c>
      <c r="I327" s="1" t="s">
        <v>45</v>
      </c>
      <c r="J327" s="1">
        <v>0.75</v>
      </c>
      <c r="K327" s="7">
        <v>556.9</v>
      </c>
      <c r="L327">
        <v>180</v>
      </c>
      <c r="M327" s="7">
        <f>Tabell1[[#This Row],[Salgspris]]*Tabell1[[#This Row],[Totalt antall]]</f>
        <v>100242</v>
      </c>
      <c r="N327">
        <v>48</v>
      </c>
      <c r="O327">
        <v>24</v>
      </c>
      <c r="P327">
        <v>12</v>
      </c>
      <c r="Q327">
        <v>18</v>
      </c>
      <c r="R327">
        <v>12</v>
      </c>
      <c r="S327">
        <v>12</v>
      </c>
      <c r="T327">
        <v>12</v>
      </c>
      <c r="U327">
        <v>24</v>
      </c>
      <c r="V327">
        <v>6</v>
      </c>
      <c r="W327">
        <v>6</v>
      </c>
      <c r="X327">
        <v>6</v>
      </c>
      <c r="Y327" s="3"/>
    </row>
    <row r="328" spans="1:25" ht="32.1" customHeight="1" x14ac:dyDescent="0.25">
      <c r="A328" s="1">
        <v>12761701</v>
      </c>
      <c r="B328" t="s">
        <v>317</v>
      </c>
      <c r="C328" t="s">
        <v>96</v>
      </c>
      <c r="D328" s="1">
        <v>2018</v>
      </c>
      <c r="E328" t="s">
        <v>26</v>
      </c>
      <c r="F328" t="s">
        <v>27</v>
      </c>
      <c r="G328" t="s">
        <v>57</v>
      </c>
      <c r="H328" t="s">
        <v>29</v>
      </c>
      <c r="I328" s="1" t="s">
        <v>45</v>
      </c>
      <c r="J328" s="1">
        <v>0.75</v>
      </c>
      <c r="K328" s="7">
        <v>881.2</v>
      </c>
      <c r="L328">
        <v>72</v>
      </c>
      <c r="M328" s="7">
        <f>Tabell1[[#This Row],[Salgspris]]*Tabell1[[#This Row],[Totalt antall]]</f>
        <v>63446.400000000001</v>
      </c>
      <c r="N328">
        <v>36</v>
      </c>
      <c r="O328">
        <v>6</v>
      </c>
      <c r="P328">
        <v>6</v>
      </c>
      <c r="Q328">
        <v>6</v>
      </c>
      <c r="R328">
        <v>6</v>
      </c>
      <c r="S328">
        <v>6</v>
      </c>
      <c r="T328">
        <v>6</v>
      </c>
      <c r="X328"/>
      <c r="Y328" s="3"/>
    </row>
    <row r="329" spans="1:25" ht="32.1" customHeight="1" x14ac:dyDescent="0.25">
      <c r="A329" s="1">
        <v>12761401</v>
      </c>
      <c r="B329" t="s">
        <v>317</v>
      </c>
      <c r="C329" t="s">
        <v>319</v>
      </c>
      <c r="D329" s="1">
        <v>2018</v>
      </c>
      <c r="E329" t="s">
        <v>26</v>
      </c>
      <c r="F329" t="s">
        <v>27</v>
      </c>
      <c r="G329" t="s">
        <v>57</v>
      </c>
      <c r="H329" t="s">
        <v>29</v>
      </c>
      <c r="I329" s="1" t="s">
        <v>45</v>
      </c>
      <c r="J329" s="1">
        <v>0.75</v>
      </c>
      <c r="K329" s="7">
        <v>1028</v>
      </c>
      <c r="L329">
        <v>72</v>
      </c>
      <c r="M329" s="7">
        <f>Tabell1[[#This Row],[Salgspris]]*Tabell1[[#This Row],[Totalt antall]]</f>
        <v>74016</v>
      </c>
      <c r="N329">
        <v>36</v>
      </c>
      <c r="O329">
        <v>6</v>
      </c>
      <c r="Q329">
        <v>6</v>
      </c>
      <c r="S329">
        <v>6</v>
      </c>
      <c r="T329">
        <v>6</v>
      </c>
      <c r="U329">
        <v>6</v>
      </c>
      <c r="V329">
        <v>6</v>
      </c>
      <c r="X329"/>
      <c r="Y329" s="3"/>
    </row>
    <row r="330" spans="1:25" ht="32.1" customHeight="1" x14ac:dyDescent="0.25">
      <c r="A330" s="1">
        <v>12761201</v>
      </c>
      <c r="B330" t="s">
        <v>317</v>
      </c>
      <c r="C330" t="s">
        <v>59</v>
      </c>
      <c r="D330" s="1">
        <v>2018</v>
      </c>
      <c r="E330" t="s">
        <v>26</v>
      </c>
      <c r="F330" t="s">
        <v>27</v>
      </c>
      <c r="G330" t="s">
        <v>57</v>
      </c>
      <c r="H330" t="s">
        <v>29</v>
      </c>
      <c r="I330" s="1" t="s">
        <v>45</v>
      </c>
      <c r="J330" s="1">
        <v>0.75</v>
      </c>
      <c r="K330" s="7">
        <v>935.6</v>
      </c>
      <c r="L330">
        <v>72</v>
      </c>
      <c r="M330" s="7">
        <f>Tabell1[[#This Row],[Salgspris]]*Tabell1[[#This Row],[Totalt antall]]</f>
        <v>67363.199999999997</v>
      </c>
      <c r="N330">
        <v>36</v>
      </c>
      <c r="O330">
        <v>6</v>
      </c>
      <c r="P330">
        <v>6</v>
      </c>
      <c r="Q330">
        <v>6</v>
      </c>
      <c r="R330">
        <v>6</v>
      </c>
      <c r="U330">
        <v>6</v>
      </c>
      <c r="V330">
        <v>6</v>
      </c>
      <c r="X330"/>
      <c r="Y330" s="3"/>
    </row>
    <row r="331" spans="1:25" ht="32.1" customHeight="1" x14ac:dyDescent="0.25">
      <c r="A331" s="1">
        <v>12761601</v>
      </c>
      <c r="B331" t="s">
        <v>317</v>
      </c>
      <c r="C331" t="s">
        <v>97</v>
      </c>
      <c r="D331" s="1">
        <v>2018</v>
      </c>
      <c r="E331" t="s">
        <v>26</v>
      </c>
      <c r="F331" t="s">
        <v>27</v>
      </c>
      <c r="G331" t="s">
        <v>57</v>
      </c>
      <c r="H331" t="s">
        <v>29</v>
      </c>
      <c r="I331" s="1" t="s">
        <v>45</v>
      </c>
      <c r="J331" s="1">
        <v>0.75</v>
      </c>
      <c r="K331" s="7">
        <v>748.4</v>
      </c>
      <c r="L331">
        <v>72</v>
      </c>
      <c r="M331" s="7">
        <f>Tabell1[[#This Row],[Salgspris]]*Tabell1[[#This Row],[Totalt antall]]</f>
        <v>53884.799999999996</v>
      </c>
      <c r="N331">
        <v>36</v>
      </c>
      <c r="O331">
        <v>6</v>
      </c>
      <c r="P331">
        <v>6</v>
      </c>
      <c r="S331">
        <v>6</v>
      </c>
      <c r="T331">
        <v>6</v>
      </c>
      <c r="U331">
        <v>6</v>
      </c>
      <c r="V331">
        <v>6</v>
      </c>
      <c r="X331"/>
      <c r="Y331" s="3"/>
    </row>
    <row r="332" spans="1:25" ht="32.1" customHeight="1" x14ac:dyDescent="0.25">
      <c r="A332" s="1">
        <v>12748701</v>
      </c>
      <c r="B332" t="s">
        <v>320</v>
      </c>
      <c r="C332" t="s">
        <v>321</v>
      </c>
      <c r="D332" s="1">
        <v>2018</v>
      </c>
      <c r="E332" t="s">
        <v>26</v>
      </c>
      <c r="F332" t="s">
        <v>27</v>
      </c>
      <c r="G332" t="s">
        <v>57</v>
      </c>
      <c r="H332" t="s">
        <v>29</v>
      </c>
      <c r="I332" s="1" t="s">
        <v>45</v>
      </c>
      <c r="J332" s="1">
        <v>0.75</v>
      </c>
      <c r="K332" s="7">
        <v>1456.9</v>
      </c>
      <c r="L332">
        <v>48</v>
      </c>
      <c r="M332" s="7">
        <f>Tabell1[[#This Row],[Salgspris]]*Tabell1[[#This Row],[Totalt antall]]</f>
        <v>69931.200000000012</v>
      </c>
      <c r="N332">
        <v>18</v>
      </c>
      <c r="O332">
        <v>3</v>
      </c>
      <c r="P332">
        <v>3</v>
      </c>
      <c r="Q332">
        <v>6</v>
      </c>
      <c r="S332">
        <v>3</v>
      </c>
      <c r="T332">
        <v>3</v>
      </c>
      <c r="U332">
        <v>9</v>
      </c>
      <c r="V332">
        <v>3</v>
      </c>
      <c r="X332"/>
      <c r="Y332" s="3" t="s">
        <v>88</v>
      </c>
    </row>
    <row r="333" spans="1:25" ht="32.1" customHeight="1" x14ac:dyDescent="0.25">
      <c r="A333" s="1">
        <v>12749001</v>
      </c>
      <c r="B333" t="s">
        <v>320</v>
      </c>
      <c r="C333" t="s">
        <v>322</v>
      </c>
      <c r="D333" s="1">
        <v>2018</v>
      </c>
      <c r="E333" t="s">
        <v>26</v>
      </c>
      <c r="F333" t="s">
        <v>27</v>
      </c>
      <c r="G333" t="s">
        <v>99</v>
      </c>
      <c r="H333" t="s">
        <v>38</v>
      </c>
      <c r="I333" s="1" t="s">
        <v>45</v>
      </c>
      <c r="J333" s="1">
        <v>0.75</v>
      </c>
      <c r="K333" s="7">
        <v>4654.8</v>
      </c>
      <c r="L333">
        <v>36</v>
      </c>
      <c r="M333" s="7">
        <f>Tabell1[[#This Row],[Salgspris]]*Tabell1[[#This Row],[Totalt antall]]</f>
        <v>167572.80000000002</v>
      </c>
      <c r="N333">
        <v>18</v>
      </c>
      <c r="O333">
        <v>3</v>
      </c>
      <c r="P333">
        <v>3</v>
      </c>
      <c r="Q333">
        <v>3</v>
      </c>
      <c r="R333">
        <v>3</v>
      </c>
      <c r="S333">
        <v>3</v>
      </c>
      <c r="T333">
        <v>3</v>
      </c>
      <c r="X333"/>
      <c r="Y333" s="3" t="s">
        <v>31</v>
      </c>
    </row>
    <row r="334" spans="1:25" ht="32.1" customHeight="1" x14ac:dyDescent="0.25">
      <c r="A334" s="1">
        <v>12749201</v>
      </c>
      <c r="B334" t="s">
        <v>320</v>
      </c>
      <c r="C334" t="s">
        <v>98</v>
      </c>
      <c r="D334" s="1">
        <v>2018</v>
      </c>
      <c r="E334" t="s">
        <v>26</v>
      </c>
      <c r="F334" t="s">
        <v>27</v>
      </c>
      <c r="G334" t="s">
        <v>99</v>
      </c>
      <c r="H334" t="s">
        <v>38</v>
      </c>
      <c r="I334" s="1" t="s">
        <v>45</v>
      </c>
      <c r="J334" s="1">
        <v>0.75</v>
      </c>
      <c r="K334" s="7">
        <v>6188.8</v>
      </c>
      <c r="L334">
        <v>48</v>
      </c>
      <c r="M334" s="7">
        <f>Tabell1[[#This Row],[Salgspris]]*Tabell1[[#This Row],[Totalt antall]]</f>
        <v>297062.40000000002</v>
      </c>
      <c r="N334">
        <v>18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9</v>
      </c>
      <c r="V334">
        <v>3</v>
      </c>
      <c r="X334"/>
      <c r="Y334" s="3" t="s">
        <v>31</v>
      </c>
    </row>
    <row r="335" spans="1:25" ht="32.1" customHeight="1" x14ac:dyDescent="0.25">
      <c r="A335" s="1">
        <v>12748401</v>
      </c>
      <c r="B335" t="s">
        <v>320</v>
      </c>
      <c r="C335" t="s">
        <v>99</v>
      </c>
      <c r="D335" s="1">
        <v>2018</v>
      </c>
      <c r="E335" t="s">
        <v>26</v>
      </c>
      <c r="F335" t="s">
        <v>27</v>
      </c>
      <c r="G335" t="s">
        <v>99</v>
      </c>
      <c r="I335" s="1" t="s">
        <v>45</v>
      </c>
      <c r="J335" s="1">
        <v>0.75</v>
      </c>
      <c r="K335" s="7">
        <v>1004.4</v>
      </c>
      <c r="L335">
        <v>90</v>
      </c>
      <c r="M335" s="7">
        <f>Tabell1[[#This Row],[Salgspris]]*Tabell1[[#This Row],[Totalt antall]]</f>
        <v>90396</v>
      </c>
      <c r="N335">
        <v>18</v>
      </c>
      <c r="O335">
        <v>12</v>
      </c>
      <c r="P335">
        <v>6</v>
      </c>
      <c r="Q335">
        <v>12</v>
      </c>
      <c r="S335">
        <v>6</v>
      </c>
      <c r="T335">
        <v>6</v>
      </c>
      <c r="U335">
        <v>18</v>
      </c>
      <c r="V335">
        <v>12</v>
      </c>
      <c r="X335"/>
      <c r="Y335" s="3" t="s">
        <v>88</v>
      </c>
    </row>
    <row r="336" spans="1:25" ht="32.1" customHeight="1" x14ac:dyDescent="0.25">
      <c r="A336" s="1">
        <v>12748601</v>
      </c>
      <c r="B336" t="s">
        <v>320</v>
      </c>
      <c r="C336" t="s">
        <v>323</v>
      </c>
      <c r="D336" s="1">
        <v>2018</v>
      </c>
      <c r="E336" t="s">
        <v>26</v>
      </c>
      <c r="F336" t="s">
        <v>27</v>
      </c>
      <c r="G336" t="s">
        <v>99</v>
      </c>
      <c r="H336" t="s">
        <v>29</v>
      </c>
      <c r="I336" s="1" t="s">
        <v>45</v>
      </c>
      <c r="J336" s="1">
        <v>0.75</v>
      </c>
      <c r="K336" s="7">
        <v>1456.9</v>
      </c>
      <c r="L336">
        <v>96</v>
      </c>
      <c r="M336" s="7">
        <f>Tabell1[[#This Row],[Salgspris]]*Tabell1[[#This Row],[Totalt antall]]</f>
        <v>139862.40000000002</v>
      </c>
      <c r="N336">
        <v>18</v>
      </c>
      <c r="O336">
        <v>6</v>
      </c>
      <c r="P336">
        <v>6</v>
      </c>
      <c r="Q336">
        <v>6</v>
      </c>
      <c r="R336">
        <v>6</v>
      </c>
      <c r="S336">
        <v>6</v>
      </c>
      <c r="T336">
        <v>6</v>
      </c>
      <c r="U336">
        <v>18</v>
      </c>
      <c r="V336">
        <v>12</v>
      </c>
      <c r="W336">
        <v>6</v>
      </c>
      <c r="X336">
        <v>6</v>
      </c>
      <c r="Y336" s="3" t="s">
        <v>88</v>
      </c>
    </row>
    <row r="337" spans="1:25" ht="32.1" customHeight="1" x14ac:dyDescent="0.25">
      <c r="A337" s="1">
        <v>12748801</v>
      </c>
      <c r="B337" t="s">
        <v>320</v>
      </c>
      <c r="C337" t="s">
        <v>101</v>
      </c>
      <c r="D337" s="1">
        <v>2018</v>
      </c>
      <c r="E337" t="s">
        <v>26</v>
      </c>
      <c r="F337" t="s">
        <v>27</v>
      </c>
      <c r="G337" t="s">
        <v>99</v>
      </c>
      <c r="H337" t="s">
        <v>29</v>
      </c>
      <c r="I337" s="1" t="s">
        <v>45</v>
      </c>
      <c r="J337" s="1">
        <v>0.75</v>
      </c>
      <c r="K337" s="7">
        <v>2178.1999999999998</v>
      </c>
      <c r="L337">
        <v>6</v>
      </c>
      <c r="M337" s="7">
        <f>Tabell1[[#This Row],[Salgspris]]*Tabell1[[#This Row],[Totalt antall]]</f>
        <v>13069.199999999999</v>
      </c>
      <c r="N337">
        <v>3</v>
      </c>
      <c r="U337">
        <v>3</v>
      </c>
      <c r="X337"/>
      <c r="Y337" s="3" t="s">
        <v>31</v>
      </c>
    </row>
    <row r="338" spans="1:25" ht="32.1" customHeight="1" x14ac:dyDescent="0.25">
      <c r="A338" s="1">
        <v>12748901</v>
      </c>
      <c r="B338" t="s">
        <v>320</v>
      </c>
      <c r="C338" t="s">
        <v>215</v>
      </c>
      <c r="D338" s="1">
        <v>2018</v>
      </c>
      <c r="E338" t="s">
        <v>26</v>
      </c>
      <c r="F338" t="s">
        <v>27</v>
      </c>
      <c r="G338" t="s">
        <v>99</v>
      </c>
      <c r="H338" t="s">
        <v>29</v>
      </c>
      <c r="I338" s="1" t="s">
        <v>45</v>
      </c>
      <c r="J338" s="1">
        <v>0.75</v>
      </c>
      <c r="K338" s="7">
        <v>2026</v>
      </c>
      <c r="L338">
        <v>18</v>
      </c>
      <c r="M338" s="7">
        <f>Tabell1[[#This Row],[Salgspris]]*Tabell1[[#This Row],[Totalt antall]]</f>
        <v>36468</v>
      </c>
      <c r="N338">
        <v>9</v>
      </c>
      <c r="O338">
        <v>3</v>
      </c>
      <c r="Q338">
        <v>3</v>
      </c>
      <c r="V338">
        <v>3</v>
      </c>
      <c r="X338"/>
      <c r="Y338" s="3" t="s">
        <v>31</v>
      </c>
    </row>
    <row r="339" spans="1:25" ht="32.1" customHeight="1" x14ac:dyDescent="0.25">
      <c r="A339" s="1">
        <v>12749101</v>
      </c>
      <c r="B339" t="s">
        <v>320</v>
      </c>
      <c r="C339" t="s">
        <v>103</v>
      </c>
      <c r="D339" s="1">
        <v>2018</v>
      </c>
      <c r="E339" t="s">
        <v>26</v>
      </c>
      <c r="F339" t="s">
        <v>27</v>
      </c>
      <c r="G339" t="s">
        <v>99</v>
      </c>
      <c r="H339" t="s">
        <v>29</v>
      </c>
      <c r="I339" s="1" t="s">
        <v>45</v>
      </c>
      <c r="J339" s="1">
        <v>0.75</v>
      </c>
      <c r="K339" s="7">
        <v>2563.4</v>
      </c>
      <c r="L339">
        <v>48</v>
      </c>
      <c r="M339" s="7">
        <f>Tabell1[[#This Row],[Salgspris]]*Tabell1[[#This Row],[Totalt antall]]</f>
        <v>123043.20000000001</v>
      </c>
      <c r="N339">
        <v>18</v>
      </c>
      <c r="O339">
        <v>3</v>
      </c>
      <c r="P339">
        <v>3</v>
      </c>
      <c r="Q339">
        <v>6</v>
      </c>
      <c r="S339">
        <v>3</v>
      </c>
      <c r="T339">
        <v>3</v>
      </c>
      <c r="U339">
        <v>9</v>
      </c>
      <c r="V339">
        <v>3</v>
      </c>
      <c r="X339"/>
      <c r="Y339" s="3" t="s">
        <v>88</v>
      </c>
    </row>
    <row r="340" spans="1:25" ht="32.1" customHeight="1" x14ac:dyDescent="0.25">
      <c r="A340" s="1">
        <v>12749301</v>
      </c>
      <c r="B340" t="s">
        <v>320</v>
      </c>
      <c r="C340" t="s">
        <v>90</v>
      </c>
      <c r="D340" s="1">
        <v>2018</v>
      </c>
      <c r="E340" t="s">
        <v>26</v>
      </c>
      <c r="F340" t="s">
        <v>27</v>
      </c>
      <c r="G340" t="s">
        <v>91</v>
      </c>
      <c r="H340" t="s">
        <v>38</v>
      </c>
      <c r="I340" s="1" t="s">
        <v>45</v>
      </c>
      <c r="J340" s="1">
        <v>0.75</v>
      </c>
      <c r="K340" s="7">
        <v>5094.8999999999996</v>
      </c>
      <c r="L340">
        <v>42</v>
      </c>
      <c r="M340" s="7">
        <f>Tabell1[[#This Row],[Salgspris]]*Tabell1[[#This Row],[Totalt antall]]</f>
        <v>213985.8</v>
      </c>
      <c r="N340">
        <v>18</v>
      </c>
      <c r="O340">
        <v>3</v>
      </c>
      <c r="P340">
        <v>3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1</v>
      </c>
      <c r="W340">
        <v>1</v>
      </c>
      <c r="X340">
        <v>1</v>
      </c>
      <c r="Y340" s="3" t="s">
        <v>31</v>
      </c>
    </row>
    <row r="341" spans="1:25" ht="32.1" customHeight="1" x14ac:dyDescent="0.25">
      <c r="A341" s="1">
        <v>12748501</v>
      </c>
      <c r="B341" t="s">
        <v>320</v>
      </c>
      <c r="C341" t="s">
        <v>60</v>
      </c>
      <c r="D341" s="1">
        <v>2018</v>
      </c>
      <c r="E341" t="s">
        <v>26</v>
      </c>
      <c r="F341" t="s">
        <v>27</v>
      </c>
      <c r="I341" s="1" t="s">
        <v>45</v>
      </c>
      <c r="J341" s="1">
        <v>0.75</v>
      </c>
      <c r="K341" s="7">
        <v>617.1</v>
      </c>
      <c r="L341">
        <v>180</v>
      </c>
      <c r="M341" s="7">
        <f>Tabell1[[#This Row],[Salgspris]]*Tabell1[[#This Row],[Totalt antall]]</f>
        <v>111078</v>
      </c>
      <c r="N341">
        <v>24</v>
      </c>
      <c r="O341">
        <v>18</v>
      </c>
      <c r="P341">
        <v>12</v>
      </c>
      <c r="Q341">
        <v>18</v>
      </c>
      <c r="R341">
        <v>12</v>
      </c>
      <c r="S341">
        <v>12</v>
      </c>
      <c r="T341">
        <v>12</v>
      </c>
      <c r="U341">
        <v>36</v>
      </c>
      <c r="V341">
        <v>24</v>
      </c>
      <c r="W341">
        <v>6</v>
      </c>
      <c r="X341">
        <v>6</v>
      </c>
      <c r="Y341" s="3" t="s">
        <v>160</v>
      </c>
    </row>
    <row r="342" spans="1:25" ht="32.1" customHeight="1" x14ac:dyDescent="0.25">
      <c r="A342" s="1">
        <v>12743101</v>
      </c>
      <c r="B342" t="s">
        <v>324</v>
      </c>
      <c r="C342" t="s">
        <v>325</v>
      </c>
      <c r="D342" s="1">
        <v>2018</v>
      </c>
      <c r="E342" t="s">
        <v>26</v>
      </c>
      <c r="F342" t="s">
        <v>27</v>
      </c>
      <c r="G342" t="s">
        <v>37</v>
      </c>
      <c r="H342" t="s">
        <v>29</v>
      </c>
      <c r="I342" s="1" t="s">
        <v>30</v>
      </c>
      <c r="J342" s="1">
        <v>0.75</v>
      </c>
      <c r="K342" s="7">
        <v>817.7</v>
      </c>
      <c r="L342">
        <v>72</v>
      </c>
      <c r="M342" s="7">
        <f>Tabell1[[#This Row],[Salgspris]]*Tabell1[[#This Row],[Totalt antall]]</f>
        <v>58874.400000000001</v>
      </c>
      <c r="N342">
        <v>36</v>
      </c>
      <c r="O342">
        <v>6</v>
      </c>
      <c r="P342">
        <v>6</v>
      </c>
      <c r="Q342">
        <v>6</v>
      </c>
      <c r="T342">
        <v>6</v>
      </c>
      <c r="U342">
        <v>6</v>
      </c>
      <c r="V342">
        <v>6</v>
      </c>
      <c r="X342"/>
      <c r="Y342" s="3"/>
    </row>
    <row r="343" spans="1:25" ht="32.1" customHeight="1" x14ac:dyDescent="0.25">
      <c r="A343" s="1">
        <v>12743301</v>
      </c>
      <c r="B343" t="s">
        <v>324</v>
      </c>
      <c r="C343" t="s">
        <v>326</v>
      </c>
      <c r="D343" s="1">
        <v>2018</v>
      </c>
      <c r="E343" t="s">
        <v>26</v>
      </c>
      <c r="F343" t="s">
        <v>27</v>
      </c>
      <c r="G343" t="s">
        <v>126</v>
      </c>
      <c r="I343" s="1" t="s">
        <v>30</v>
      </c>
      <c r="J343" s="1">
        <v>0.75</v>
      </c>
      <c r="K343" s="7">
        <v>650.5</v>
      </c>
      <c r="L343">
        <v>144</v>
      </c>
      <c r="M343" s="7">
        <f>Tabell1[[#This Row],[Salgspris]]*Tabell1[[#This Row],[Totalt antall]]</f>
        <v>93672</v>
      </c>
      <c r="N343">
        <v>36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6</v>
      </c>
      <c r="X343">
        <v>6</v>
      </c>
      <c r="Y343" s="3"/>
    </row>
    <row r="344" spans="1:25" ht="32.1" customHeight="1" x14ac:dyDescent="0.25">
      <c r="A344" s="1">
        <v>12743201</v>
      </c>
      <c r="B344" t="s">
        <v>324</v>
      </c>
      <c r="C344" t="s">
        <v>327</v>
      </c>
      <c r="D344" s="1">
        <v>2018</v>
      </c>
      <c r="E344" t="s">
        <v>26</v>
      </c>
      <c r="F344" t="s">
        <v>27</v>
      </c>
      <c r="G344" t="s">
        <v>126</v>
      </c>
      <c r="H344" t="s">
        <v>29</v>
      </c>
      <c r="I344" s="1" t="s">
        <v>30</v>
      </c>
      <c r="J344" s="1">
        <v>0.75</v>
      </c>
      <c r="K344" s="7">
        <v>870.3</v>
      </c>
      <c r="L344">
        <v>72</v>
      </c>
      <c r="M344" s="7">
        <f>Tabell1[[#This Row],[Salgspris]]*Tabell1[[#This Row],[Totalt antall]]</f>
        <v>62661.599999999999</v>
      </c>
      <c r="N344">
        <v>36</v>
      </c>
      <c r="O344">
        <v>6</v>
      </c>
      <c r="Q344">
        <v>6</v>
      </c>
      <c r="R344">
        <v>6</v>
      </c>
      <c r="S344">
        <v>6</v>
      </c>
      <c r="T344">
        <v>6</v>
      </c>
      <c r="U344">
        <v>6</v>
      </c>
      <c r="X344"/>
      <c r="Y344" s="3"/>
    </row>
    <row r="345" spans="1:25" ht="32.1" customHeight="1" x14ac:dyDescent="0.25">
      <c r="A345" s="1">
        <v>12770101</v>
      </c>
      <c r="B345" t="s">
        <v>328</v>
      </c>
      <c r="C345" t="s">
        <v>180</v>
      </c>
      <c r="D345" s="1">
        <v>2018</v>
      </c>
      <c r="E345" t="s">
        <v>26</v>
      </c>
      <c r="F345" t="s">
        <v>27</v>
      </c>
      <c r="G345" t="s">
        <v>55</v>
      </c>
      <c r="H345" t="s">
        <v>29</v>
      </c>
      <c r="I345" s="1" t="s">
        <v>45</v>
      </c>
      <c r="J345" s="1">
        <v>0.75</v>
      </c>
      <c r="K345" s="7">
        <v>782.7</v>
      </c>
      <c r="L345">
        <v>120</v>
      </c>
      <c r="M345" s="7">
        <f>Tabell1[[#This Row],[Salgspris]]*Tabell1[[#This Row],[Totalt antall]]</f>
        <v>93924</v>
      </c>
      <c r="N345">
        <v>36</v>
      </c>
      <c r="O345">
        <v>12</v>
      </c>
      <c r="P345">
        <v>6</v>
      </c>
      <c r="Q345">
        <v>12</v>
      </c>
      <c r="S345">
        <v>6</v>
      </c>
      <c r="T345">
        <v>12</v>
      </c>
      <c r="U345">
        <v>12</v>
      </c>
      <c r="V345">
        <v>12</v>
      </c>
      <c r="W345">
        <v>6</v>
      </c>
      <c r="X345">
        <v>6</v>
      </c>
      <c r="Y345" s="3"/>
    </row>
    <row r="346" spans="1:25" ht="32.1" customHeight="1" x14ac:dyDescent="0.25">
      <c r="A346" s="1">
        <v>12772401</v>
      </c>
      <c r="B346" t="s">
        <v>328</v>
      </c>
      <c r="C346" t="s">
        <v>329</v>
      </c>
      <c r="D346" s="1">
        <v>2018</v>
      </c>
      <c r="E346" t="s">
        <v>26</v>
      </c>
      <c r="F346" t="s">
        <v>27</v>
      </c>
      <c r="G346" t="s">
        <v>57</v>
      </c>
      <c r="H346" t="s">
        <v>29</v>
      </c>
      <c r="I346" s="1" t="s">
        <v>45</v>
      </c>
      <c r="J346" s="1">
        <v>0.75</v>
      </c>
      <c r="K346" s="7">
        <v>928.1</v>
      </c>
      <c r="L346">
        <v>60</v>
      </c>
      <c r="M346" s="7">
        <f>Tabell1[[#This Row],[Salgspris]]*Tabell1[[#This Row],[Totalt antall]]</f>
        <v>55686</v>
      </c>
      <c r="N346">
        <v>24</v>
      </c>
      <c r="O346">
        <v>6</v>
      </c>
      <c r="P346">
        <v>3</v>
      </c>
      <c r="Q346">
        <v>6</v>
      </c>
      <c r="R346">
        <v>3</v>
      </c>
      <c r="S346">
        <v>3</v>
      </c>
      <c r="T346">
        <v>3</v>
      </c>
      <c r="U346">
        <v>9</v>
      </c>
      <c r="V346">
        <v>3</v>
      </c>
      <c r="X346"/>
      <c r="Y346" s="3"/>
    </row>
    <row r="347" spans="1:25" ht="32.1" customHeight="1" x14ac:dyDescent="0.25">
      <c r="A347" s="1">
        <v>12772605</v>
      </c>
      <c r="B347" t="s">
        <v>328</v>
      </c>
      <c r="C347" t="s">
        <v>80</v>
      </c>
      <c r="D347" s="1">
        <v>2018</v>
      </c>
      <c r="E347" t="s">
        <v>26</v>
      </c>
      <c r="F347" t="s">
        <v>27</v>
      </c>
      <c r="G347" t="s">
        <v>67</v>
      </c>
      <c r="H347" t="s">
        <v>29</v>
      </c>
      <c r="I347" s="1" t="s">
        <v>30</v>
      </c>
      <c r="J347" s="1">
        <v>1.5</v>
      </c>
      <c r="K347" s="7">
        <v>5897.2</v>
      </c>
      <c r="L347">
        <v>3</v>
      </c>
      <c r="M347" s="7">
        <f>Tabell1[[#This Row],[Salgspris]]*Tabell1[[#This Row],[Totalt antall]]</f>
        <v>17691.599999999999</v>
      </c>
      <c r="N347">
        <v>3</v>
      </c>
      <c r="X347"/>
      <c r="Y347" s="3"/>
    </row>
    <row r="348" spans="1:25" ht="32.1" customHeight="1" x14ac:dyDescent="0.25">
      <c r="A348" s="1">
        <v>12772901</v>
      </c>
      <c r="B348" t="s">
        <v>328</v>
      </c>
      <c r="C348" t="s">
        <v>39</v>
      </c>
      <c r="D348" s="1">
        <v>2018</v>
      </c>
      <c r="E348" t="s">
        <v>26</v>
      </c>
      <c r="F348" t="s">
        <v>27</v>
      </c>
      <c r="G348" t="s">
        <v>37</v>
      </c>
      <c r="H348" t="s">
        <v>38</v>
      </c>
      <c r="I348" s="1" t="s">
        <v>30</v>
      </c>
      <c r="J348" s="1">
        <v>0.75</v>
      </c>
      <c r="K348" s="7">
        <v>2395.6999999999998</v>
      </c>
      <c r="L348">
        <v>12</v>
      </c>
      <c r="M348" s="7">
        <f>Tabell1[[#This Row],[Salgspris]]*Tabell1[[#This Row],[Totalt antall]]</f>
        <v>28748.399999999998</v>
      </c>
      <c r="N348">
        <v>6</v>
      </c>
      <c r="O348">
        <v>2</v>
      </c>
      <c r="Q348">
        <v>2</v>
      </c>
      <c r="U348">
        <v>2</v>
      </c>
      <c r="X348"/>
      <c r="Y348" s="3"/>
    </row>
    <row r="349" spans="1:25" ht="32.1" customHeight="1" x14ac:dyDescent="0.25">
      <c r="A349" s="1">
        <v>12778701</v>
      </c>
      <c r="B349" t="s">
        <v>328</v>
      </c>
      <c r="C349" t="s">
        <v>207</v>
      </c>
      <c r="D349" s="1">
        <v>2018</v>
      </c>
      <c r="E349" t="s">
        <v>26</v>
      </c>
      <c r="F349" t="s">
        <v>27</v>
      </c>
      <c r="G349" t="s">
        <v>77</v>
      </c>
      <c r="H349" t="s">
        <v>38</v>
      </c>
      <c r="I349" s="1" t="s">
        <v>30</v>
      </c>
      <c r="J349" s="1">
        <v>0.75</v>
      </c>
      <c r="K349" s="7">
        <v>1911.7</v>
      </c>
      <c r="L349">
        <v>12</v>
      </c>
      <c r="M349" s="7">
        <f>Tabell1[[#This Row],[Salgspris]]*Tabell1[[#This Row],[Totalt antall]]</f>
        <v>22940.400000000001</v>
      </c>
      <c r="N349">
        <v>6</v>
      </c>
      <c r="O349">
        <v>2</v>
      </c>
      <c r="Q349">
        <v>2</v>
      </c>
      <c r="V349">
        <v>2</v>
      </c>
      <c r="X349"/>
      <c r="Y349" s="3"/>
    </row>
    <row r="350" spans="1:25" ht="32.1" customHeight="1" x14ac:dyDescent="0.25">
      <c r="A350" s="1">
        <v>12759301</v>
      </c>
      <c r="B350" t="s">
        <v>330</v>
      </c>
      <c r="C350" t="s">
        <v>241</v>
      </c>
      <c r="D350" s="1">
        <v>2018</v>
      </c>
      <c r="E350" t="s">
        <v>26</v>
      </c>
      <c r="F350" t="s">
        <v>27</v>
      </c>
      <c r="G350" t="s">
        <v>126</v>
      </c>
      <c r="H350" t="s">
        <v>29</v>
      </c>
      <c r="I350" s="1" t="s">
        <v>30</v>
      </c>
      <c r="J350" s="1">
        <v>0.75</v>
      </c>
      <c r="K350" s="7">
        <v>1457.4</v>
      </c>
      <c r="L350">
        <v>60</v>
      </c>
      <c r="M350" s="7">
        <f>Tabell1[[#This Row],[Salgspris]]*Tabell1[[#This Row],[Totalt antall]]</f>
        <v>87444</v>
      </c>
      <c r="N350">
        <v>24</v>
      </c>
      <c r="O350">
        <v>6</v>
      </c>
      <c r="P350">
        <v>3</v>
      </c>
      <c r="Q350">
        <v>6</v>
      </c>
      <c r="R350">
        <v>3</v>
      </c>
      <c r="S350">
        <v>3</v>
      </c>
      <c r="T350">
        <v>3</v>
      </c>
      <c r="U350">
        <v>6</v>
      </c>
      <c r="V350">
        <v>6</v>
      </c>
      <c r="X350"/>
      <c r="Y350" s="3"/>
    </row>
    <row r="351" spans="1:25" ht="32.1" customHeight="1" x14ac:dyDescent="0.25">
      <c r="A351" s="1">
        <v>12757001</v>
      </c>
      <c r="B351" t="s">
        <v>331</v>
      </c>
      <c r="C351" t="s">
        <v>332</v>
      </c>
      <c r="D351" s="1">
        <v>2018</v>
      </c>
      <c r="E351" t="s">
        <v>26</v>
      </c>
      <c r="F351" t="s">
        <v>27</v>
      </c>
      <c r="G351" t="s">
        <v>297</v>
      </c>
      <c r="H351" t="s">
        <v>29</v>
      </c>
      <c r="I351" s="1" t="s">
        <v>45</v>
      </c>
      <c r="J351" s="1">
        <v>0.75</v>
      </c>
      <c r="K351" s="7">
        <v>467.7</v>
      </c>
      <c r="L351">
        <v>96</v>
      </c>
      <c r="M351" s="7">
        <f>Tabell1[[#This Row],[Salgspris]]*Tabell1[[#This Row],[Totalt antall]]</f>
        <v>44899.199999999997</v>
      </c>
      <c r="N351">
        <v>24</v>
      </c>
      <c r="O351">
        <v>12</v>
      </c>
      <c r="P351">
        <v>6</v>
      </c>
      <c r="Q351">
        <v>12</v>
      </c>
      <c r="R351">
        <v>6</v>
      </c>
      <c r="S351">
        <v>6</v>
      </c>
      <c r="T351">
        <v>6</v>
      </c>
      <c r="U351">
        <v>18</v>
      </c>
      <c r="V351">
        <v>6</v>
      </c>
      <c r="X351"/>
      <c r="Y351" s="3"/>
    </row>
    <row r="352" spans="1:25" ht="32.1" customHeight="1" x14ac:dyDescent="0.25">
      <c r="A352" s="1">
        <v>12756901</v>
      </c>
      <c r="B352" t="s">
        <v>331</v>
      </c>
      <c r="C352" t="s">
        <v>333</v>
      </c>
      <c r="D352" s="1">
        <v>2018</v>
      </c>
      <c r="E352" t="s">
        <v>26</v>
      </c>
      <c r="F352" t="s">
        <v>27</v>
      </c>
      <c r="G352" t="s">
        <v>297</v>
      </c>
      <c r="H352" t="s">
        <v>29</v>
      </c>
      <c r="I352" s="1" t="s">
        <v>30</v>
      </c>
      <c r="J352" s="1">
        <v>0.75</v>
      </c>
      <c r="K352" s="7">
        <v>467.7</v>
      </c>
      <c r="L352">
        <v>204</v>
      </c>
      <c r="M352" s="7">
        <f>Tabell1[[#This Row],[Salgspris]]*Tabell1[[#This Row],[Totalt antall]]</f>
        <v>95410.8</v>
      </c>
      <c r="N352">
        <v>48</v>
      </c>
      <c r="O352">
        <v>18</v>
      </c>
      <c r="P352">
        <v>12</v>
      </c>
      <c r="Q352">
        <v>18</v>
      </c>
      <c r="R352">
        <v>12</v>
      </c>
      <c r="S352">
        <v>12</v>
      </c>
      <c r="T352">
        <v>12</v>
      </c>
      <c r="U352">
        <v>48</v>
      </c>
      <c r="V352">
        <v>12</v>
      </c>
      <c r="W352">
        <v>6</v>
      </c>
      <c r="X352">
        <v>6</v>
      </c>
      <c r="Y352" s="3"/>
    </row>
    <row r="353" spans="1:25" ht="32.1" customHeight="1" x14ac:dyDescent="0.25">
      <c r="A353" s="1">
        <v>12757101</v>
      </c>
      <c r="B353" t="s">
        <v>331</v>
      </c>
      <c r="C353" t="s">
        <v>334</v>
      </c>
      <c r="D353" s="1">
        <v>2018</v>
      </c>
      <c r="E353" t="s">
        <v>26</v>
      </c>
      <c r="F353" t="s">
        <v>27</v>
      </c>
      <c r="G353" t="s">
        <v>297</v>
      </c>
      <c r="H353" t="s">
        <v>29</v>
      </c>
      <c r="I353" s="1" t="s">
        <v>30</v>
      </c>
      <c r="J353" s="1">
        <v>0.75</v>
      </c>
      <c r="K353" s="7">
        <v>489.5</v>
      </c>
      <c r="L353">
        <v>48</v>
      </c>
      <c r="M353" s="7">
        <f>Tabell1[[#This Row],[Salgspris]]*Tabell1[[#This Row],[Totalt antall]]</f>
        <v>23496</v>
      </c>
      <c r="N353">
        <v>24</v>
      </c>
      <c r="O353">
        <v>6</v>
      </c>
      <c r="Q353">
        <v>6</v>
      </c>
      <c r="U353">
        <v>6</v>
      </c>
      <c r="V353">
        <v>6</v>
      </c>
      <c r="X353"/>
      <c r="Y353" s="3"/>
    </row>
    <row r="354" spans="1:25" ht="32.1" customHeight="1" x14ac:dyDescent="0.25">
      <c r="A354" s="1">
        <v>12757301</v>
      </c>
      <c r="B354" t="s">
        <v>331</v>
      </c>
      <c r="C354" t="s">
        <v>332</v>
      </c>
      <c r="D354" s="1">
        <v>2018</v>
      </c>
      <c r="E354" t="s">
        <v>26</v>
      </c>
      <c r="F354" t="s">
        <v>27</v>
      </c>
      <c r="G354" t="s">
        <v>297</v>
      </c>
      <c r="H354" t="s">
        <v>29</v>
      </c>
      <c r="I354" s="1" t="s">
        <v>30</v>
      </c>
      <c r="J354" s="1">
        <v>0.75</v>
      </c>
      <c r="K354" s="7">
        <v>467.7</v>
      </c>
      <c r="L354">
        <v>84</v>
      </c>
      <c r="M354" s="7">
        <f>Tabell1[[#This Row],[Salgspris]]*Tabell1[[#This Row],[Totalt antall]]</f>
        <v>39286.799999999996</v>
      </c>
      <c r="N354">
        <v>24</v>
      </c>
      <c r="O354">
        <v>6</v>
      </c>
      <c r="P354">
        <v>6</v>
      </c>
      <c r="Q354">
        <v>6</v>
      </c>
      <c r="R354">
        <v>6</v>
      </c>
      <c r="S354">
        <v>6</v>
      </c>
      <c r="T354">
        <v>6</v>
      </c>
      <c r="U354">
        <v>18</v>
      </c>
      <c r="V354">
        <v>6</v>
      </c>
      <c r="X354"/>
      <c r="Y354" s="3"/>
    </row>
    <row r="355" spans="1:25" ht="32.1" customHeight="1" x14ac:dyDescent="0.25">
      <c r="A355" s="1">
        <v>12772201</v>
      </c>
      <c r="B355" t="s">
        <v>335</v>
      </c>
      <c r="C355" t="s">
        <v>336</v>
      </c>
      <c r="D355" s="1">
        <v>2018</v>
      </c>
      <c r="E355" t="s">
        <v>26</v>
      </c>
      <c r="F355" t="s">
        <v>27</v>
      </c>
      <c r="G355" t="s">
        <v>37</v>
      </c>
      <c r="I355" s="1" t="s">
        <v>30</v>
      </c>
      <c r="J355" s="1">
        <v>0.75</v>
      </c>
      <c r="K355" s="7">
        <v>797.6</v>
      </c>
      <c r="L355">
        <v>60</v>
      </c>
      <c r="M355" s="7">
        <f>Tabell1[[#This Row],[Salgspris]]*Tabell1[[#This Row],[Totalt antall]]</f>
        <v>47856</v>
      </c>
      <c r="N355">
        <v>12</v>
      </c>
      <c r="O355">
        <v>6</v>
      </c>
      <c r="P355">
        <v>6</v>
      </c>
      <c r="Q355">
        <v>6</v>
      </c>
      <c r="R355">
        <v>6</v>
      </c>
      <c r="S355">
        <v>6</v>
      </c>
      <c r="T355">
        <v>6</v>
      </c>
      <c r="U355">
        <v>12</v>
      </c>
      <c r="X355"/>
      <c r="Y355" s="3"/>
    </row>
    <row r="356" spans="1:25" ht="32.1" customHeight="1" x14ac:dyDescent="0.25">
      <c r="A356" s="1">
        <v>12772301</v>
      </c>
      <c r="B356" t="s">
        <v>335</v>
      </c>
      <c r="C356" t="s">
        <v>337</v>
      </c>
      <c r="D356" s="1">
        <v>2018</v>
      </c>
      <c r="E356" t="s">
        <v>26</v>
      </c>
      <c r="F356" t="s">
        <v>27</v>
      </c>
      <c r="G356" t="s">
        <v>37</v>
      </c>
      <c r="H356" t="s">
        <v>29</v>
      </c>
      <c r="I356" s="1" t="s">
        <v>30</v>
      </c>
      <c r="J356" s="1">
        <v>0.75</v>
      </c>
      <c r="K356" s="7">
        <v>838.9</v>
      </c>
      <c r="L356">
        <v>60</v>
      </c>
      <c r="M356" s="7">
        <f>Tabell1[[#This Row],[Salgspris]]*Tabell1[[#This Row],[Totalt antall]]</f>
        <v>50334</v>
      </c>
      <c r="N356">
        <v>24</v>
      </c>
      <c r="O356">
        <v>6</v>
      </c>
      <c r="Q356">
        <v>6</v>
      </c>
      <c r="T356">
        <v>6</v>
      </c>
      <c r="U356">
        <v>12</v>
      </c>
      <c r="V356">
        <v>6</v>
      </c>
      <c r="X356"/>
      <c r="Y356" s="3"/>
    </row>
    <row r="357" spans="1:25" ht="32.1" customHeight="1" x14ac:dyDescent="0.25">
      <c r="A357" s="1">
        <v>12740101</v>
      </c>
      <c r="B357" t="s">
        <v>338</v>
      </c>
      <c r="C357" t="s">
        <v>191</v>
      </c>
      <c r="D357" s="1">
        <v>2018</v>
      </c>
      <c r="E357" t="s">
        <v>26</v>
      </c>
      <c r="F357" t="s">
        <v>27</v>
      </c>
      <c r="G357" t="s">
        <v>120</v>
      </c>
      <c r="H357" t="s">
        <v>38</v>
      </c>
      <c r="I357" s="1" t="s">
        <v>30</v>
      </c>
      <c r="J357" s="1">
        <v>0.75</v>
      </c>
      <c r="K357" s="7">
        <v>685.3</v>
      </c>
      <c r="L357">
        <v>120</v>
      </c>
      <c r="M357" s="7">
        <f>Tabell1[[#This Row],[Salgspris]]*Tabell1[[#This Row],[Totalt antall]]</f>
        <v>82236</v>
      </c>
      <c r="N357">
        <v>36</v>
      </c>
      <c r="O357">
        <v>12</v>
      </c>
      <c r="P357">
        <v>12</v>
      </c>
      <c r="Q357">
        <v>12</v>
      </c>
      <c r="S357">
        <v>12</v>
      </c>
      <c r="T357">
        <v>12</v>
      </c>
      <c r="U357">
        <v>12</v>
      </c>
      <c r="V357">
        <v>12</v>
      </c>
      <c r="X357"/>
      <c r="Y357" s="3"/>
    </row>
    <row r="358" spans="1:25" ht="32.1" customHeight="1" x14ac:dyDescent="0.25">
      <c r="A358" s="1">
        <v>12740001</v>
      </c>
      <c r="B358" t="s">
        <v>338</v>
      </c>
      <c r="C358" t="s">
        <v>339</v>
      </c>
      <c r="D358" s="1">
        <v>2018</v>
      </c>
      <c r="E358" t="s">
        <v>26</v>
      </c>
      <c r="F358" t="s">
        <v>27</v>
      </c>
      <c r="G358" t="s">
        <v>229</v>
      </c>
      <c r="I358" s="1" t="s">
        <v>30</v>
      </c>
      <c r="J358" s="1">
        <v>0.75</v>
      </c>
      <c r="K358" s="7">
        <v>353.5</v>
      </c>
      <c r="L358">
        <v>360</v>
      </c>
      <c r="M358" s="7">
        <f>Tabell1[[#This Row],[Salgspris]]*Tabell1[[#This Row],[Totalt antall]]</f>
        <v>127260</v>
      </c>
      <c r="N358">
        <v>78</v>
      </c>
      <c r="O358">
        <v>24</v>
      </c>
      <c r="P358">
        <v>24</v>
      </c>
      <c r="Q358">
        <v>24</v>
      </c>
      <c r="R358">
        <v>24</v>
      </c>
      <c r="S358">
        <v>24</v>
      </c>
      <c r="T358">
        <v>24</v>
      </c>
      <c r="U358">
        <v>54</v>
      </c>
      <c r="V358">
        <v>36</v>
      </c>
      <c r="W358">
        <v>24</v>
      </c>
      <c r="X358">
        <v>24</v>
      </c>
      <c r="Y358" s="3"/>
    </row>
    <row r="359" spans="1:25" ht="32.1" customHeight="1" x14ac:dyDescent="0.25">
      <c r="A359" s="1">
        <v>12765401</v>
      </c>
      <c r="B359" t="s">
        <v>340</v>
      </c>
      <c r="C359" t="s">
        <v>341</v>
      </c>
      <c r="D359" s="1">
        <v>2018</v>
      </c>
      <c r="E359" t="s">
        <v>26</v>
      </c>
      <c r="F359" t="s">
        <v>27</v>
      </c>
      <c r="G359" t="s">
        <v>229</v>
      </c>
      <c r="H359" t="s">
        <v>29</v>
      </c>
      <c r="I359" s="1" t="s">
        <v>45</v>
      </c>
      <c r="J359" s="1">
        <v>0.75</v>
      </c>
      <c r="K359" s="7">
        <v>489.5</v>
      </c>
      <c r="L359">
        <v>72</v>
      </c>
      <c r="M359" s="7">
        <f>Tabell1[[#This Row],[Salgspris]]*Tabell1[[#This Row],[Totalt antall]]</f>
        <v>35244</v>
      </c>
      <c r="N359">
        <v>36</v>
      </c>
      <c r="S359">
        <v>6</v>
      </c>
      <c r="T359">
        <v>6</v>
      </c>
      <c r="U359">
        <v>6</v>
      </c>
      <c r="V359">
        <v>6</v>
      </c>
      <c r="W359">
        <v>6</v>
      </c>
      <c r="X359">
        <v>6</v>
      </c>
      <c r="Y359" s="3"/>
    </row>
    <row r="360" spans="1:25" ht="32.1" customHeight="1" x14ac:dyDescent="0.25">
      <c r="A360" s="1">
        <v>12765301</v>
      </c>
      <c r="B360" t="s">
        <v>340</v>
      </c>
      <c r="C360" t="s">
        <v>57</v>
      </c>
      <c r="D360" s="1">
        <v>2018</v>
      </c>
      <c r="E360" t="s">
        <v>26</v>
      </c>
      <c r="F360" t="s">
        <v>27</v>
      </c>
      <c r="G360" t="s">
        <v>57</v>
      </c>
      <c r="I360" s="1" t="s">
        <v>45</v>
      </c>
      <c r="J360" s="1">
        <v>0.75</v>
      </c>
      <c r="K360" s="7">
        <v>701.6</v>
      </c>
      <c r="L360">
        <v>48</v>
      </c>
      <c r="M360" s="7">
        <f>Tabell1[[#This Row],[Salgspris]]*Tabell1[[#This Row],[Totalt antall]]</f>
        <v>33676.800000000003</v>
      </c>
      <c r="N360">
        <v>24</v>
      </c>
      <c r="O360">
        <v>6</v>
      </c>
      <c r="P360">
        <v>6</v>
      </c>
      <c r="Q360">
        <v>6</v>
      </c>
      <c r="R360">
        <v>6</v>
      </c>
      <c r="X360"/>
      <c r="Y360" s="3"/>
    </row>
    <row r="361" spans="1:25" ht="32.1" customHeight="1" x14ac:dyDescent="0.25">
      <c r="A361" s="1">
        <v>12764801</v>
      </c>
      <c r="B361" t="s">
        <v>340</v>
      </c>
      <c r="C361" t="s">
        <v>342</v>
      </c>
      <c r="D361" s="1">
        <v>2018</v>
      </c>
      <c r="E361" t="s">
        <v>26</v>
      </c>
      <c r="F361" t="s">
        <v>27</v>
      </c>
      <c r="G361" t="s">
        <v>120</v>
      </c>
      <c r="H361" t="s">
        <v>38</v>
      </c>
      <c r="I361" s="1" t="s">
        <v>30</v>
      </c>
      <c r="J361" s="1">
        <v>0.75</v>
      </c>
      <c r="K361" s="7">
        <v>2757.8</v>
      </c>
      <c r="L361">
        <v>12</v>
      </c>
      <c r="M361" s="7">
        <f>Tabell1[[#This Row],[Salgspris]]*Tabell1[[#This Row],[Totalt antall]]</f>
        <v>33093.600000000006</v>
      </c>
      <c r="N361">
        <v>6</v>
      </c>
      <c r="O361">
        <v>2</v>
      </c>
      <c r="Q361">
        <v>2</v>
      </c>
      <c r="U361">
        <v>2</v>
      </c>
      <c r="X361"/>
      <c r="Y361" s="3"/>
    </row>
    <row r="362" spans="1:25" ht="32.1" customHeight="1" x14ac:dyDescent="0.25">
      <c r="A362" s="1">
        <v>12765101</v>
      </c>
      <c r="B362" t="s">
        <v>340</v>
      </c>
      <c r="C362" t="s">
        <v>67</v>
      </c>
      <c r="D362" s="1">
        <v>2018</v>
      </c>
      <c r="E362" t="s">
        <v>26</v>
      </c>
      <c r="F362" t="s">
        <v>27</v>
      </c>
      <c r="G362" t="s">
        <v>67</v>
      </c>
      <c r="I362" s="1" t="s">
        <v>30</v>
      </c>
      <c r="J362" s="1">
        <v>0.75</v>
      </c>
      <c r="K362" s="7">
        <v>815.9</v>
      </c>
      <c r="L362">
        <v>48</v>
      </c>
      <c r="M362" s="7">
        <f>Tabell1[[#This Row],[Salgspris]]*Tabell1[[#This Row],[Totalt antall]]</f>
        <v>39163.199999999997</v>
      </c>
      <c r="N362">
        <v>24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3</v>
      </c>
      <c r="U362">
        <v>3</v>
      </c>
      <c r="V362">
        <v>3</v>
      </c>
      <c r="X362"/>
      <c r="Y362" s="3"/>
    </row>
    <row r="363" spans="1:25" ht="32.1" customHeight="1" x14ac:dyDescent="0.25">
      <c r="A363" s="1">
        <v>12764401</v>
      </c>
      <c r="B363" t="s">
        <v>340</v>
      </c>
      <c r="C363" t="s">
        <v>343</v>
      </c>
      <c r="D363" s="1">
        <v>2018</v>
      </c>
      <c r="E363" t="s">
        <v>26</v>
      </c>
      <c r="F363" t="s">
        <v>27</v>
      </c>
      <c r="G363" t="s">
        <v>67</v>
      </c>
      <c r="I363" s="1" t="s">
        <v>30</v>
      </c>
      <c r="J363" s="1">
        <v>0.75</v>
      </c>
      <c r="K363" s="7">
        <v>1261.8</v>
      </c>
      <c r="L363">
        <v>30</v>
      </c>
      <c r="M363" s="7">
        <f>Tabell1[[#This Row],[Salgspris]]*Tabell1[[#This Row],[Totalt antall]]</f>
        <v>37854</v>
      </c>
      <c r="N363">
        <v>12</v>
      </c>
      <c r="O363">
        <v>3</v>
      </c>
      <c r="P363">
        <v>3</v>
      </c>
      <c r="Q363">
        <v>3</v>
      </c>
      <c r="R363">
        <v>3</v>
      </c>
      <c r="S363">
        <v>3</v>
      </c>
      <c r="T363">
        <v>3</v>
      </c>
      <c r="X363"/>
      <c r="Y363" s="3"/>
    </row>
    <row r="364" spans="1:25" ht="32.1" customHeight="1" x14ac:dyDescent="0.25">
      <c r="A364" s="1">
        <v>12764301</v>
      </c>
      <c r="B364" t="s">
        <v>340</v>
      </c>
      <c r="C364" t="s">
        <v>69</v>
      </c>
      <c r="D364" s="1">
        <v>2018</v>
      </c>
      <c r="E364" t="s">
        <v>26</v>
      </c>
      <c r="F364" t="s">
        <v>27</v>
      </c>
      <c r="G364" t="s">
        <v>69</v>
      </c>
      <c r="I364" s="1" t="s">
        <v>30</v>
      </c>
      <c r="J364" s="1">
        <v>0.75</v>
      </c>
      <c r="K364" s="7">
        <v>505.8</v>
      </c>
      <c r="L364">
        <v>84</v>
      </c>
      <c r="M364" s="7">
        <f>Tabell1[[#This Row],[Salgspris]]*Tabell1[[#This Row],[Totalt antall]]</f>
        <v>42487.200000000004</v>
      </c>
      <c r="N364">
        <v>24</v>
      </c>
      <c r="O364">
        <v>6</v>
      </c>
      <c r="P364">
        <v>6</v>
      </c>
      <c r="Q364">
        <v>6</v>
      </c>
      <c r="R364">
        <v>6</v>
      </c>
      <c r="S364">
        <v>6</v>
      </c>
      <c r="T364">
        <v>6</v>
      </c>
      <c r="U364">
        <v>18</v>
      </c>
      <c r="V364">
        <v>6</v>
      </c>
      <c r="X364"/>
      <c r="Y364" s="3"/>
    </row>
    <row r="365" spans="1:25" ht="32.1" customHeight="1" x14ac:dyDescent="0.25">
      <c r="A365" s="1">
        <v>12765201</v>
      </c>
      <c r="B365" t="s">
        <v>340</v>
      </c>
      <c r="C365" t="s">
        <v>344</v>
      </c>
      <c r="D365" s="1">
        <v>2018</v>
      </c>
      <c r="E365" t="s">
        <v>26</v>
      </c>
      <c r="F365" t="s">
        <v>27</v>
      </c>
      <c r="G365" t="s">
        <v>69</v>
      </c>
      <c r="H365" t="s">
        <v>29</v>
      </c>
      <c r="I365" s="1" t="s">
        <v>30</v>
      </c>
      <c r="J365" s="1">
        <v>0.75</v>
      </c>
      <c r="K365" s="7">
        <v>701.6</v>
      </c>
      <c r="L365">
        <v>84</v>
      </c>
      <c r="M365" s="7">
        <f>Tabell1[[#This Row],[Salgspris]]*Tabell1[[#This Row],[Totalt antall]]</f>
        <v>58934.400000000001</v>
      </c>
      <c r="N365">
        <v>24</v>
      </c>
      <c r="O365">
        <v>6</v>
      </c>
      <c r="Q365">
        <v>6</v>
      </c>
      <c r="U365">
        <v>24</v>
      </c>
      <c r="V365">
        <v>12</v>
      </c>
      <c r="W365">
        <v>6</v>
      </c>
      <c r="X365">
        <v>6</v>
      </c>
      <c r="Y365" s="3"/>
    </row>
    <row r="366" spans="1:25" ht="32.1" customHeight="1" x14ac:dyDescent="0.25">
      <c r="A366" s="1">
        <v>12765001</v>
      </c>
      <c r="B366" t="s">
        <v>340</v>
      </c>
      <c r="C366" t="s">
        <v>345</v>
      </c>
      <c r="D366" s="1">
        <v>2018</v>
      </c>
      <c r="E366" t="s">
        <v>26</v>
      </c>
      <c r="F366" t="s">
        <v>27</v>
      </c>
      <c r="G366" t="s">
        <v>126</v>
      </c>
      <c r="H366" t="s">
        <v>29</v>
      </c>
      <c r="I366" s="1" t="s">
        <v>30</v>
      </c>
      <c r="J366" s="1">
        <v>0.75</v>
      </c>
      <c r="K366" s="7">
        <v>1392.3</v>
      </c>
      <c r="L366">
        <v>18</v>
      </c>
      <c r="M366" s="7">
        <f>Tabell1[[#This Row],[Salgspris]]*Tabell1[[#This Row],[Totalt antall]]</f>
        <v>25061.399999999998</v>
      </c>
      <c r="N366">
        <v>9</v>
      </c>
      <c r="O366">
        <v>3</v>
      </c>
      <c r="Q366">
        <v>3</v>
      </c>
      <c r="U366">
        <v>3</v>
      </c>
      <c r="X366"/>
      <c r="Y366" s="3"/>
    </row>
    <row r="367" spans="1:25" ht="32.1" customHeight="1" x14ac:dyDescent="0.25">
      <c r="A367" s="1">
        <v>12764601</v>
      </c>
      <c r="B367" t="s">
        <v>340</v>
      </c>
      <c r="C367" t="s">
        <v>42</v>
      </c>
      <c r="D367" s="1">
        <v>2018</v>
      </c>
      <c r="E367" t="s">
        <v>26</v>
      </c>
      <c r="F367" t="s">
        <v>27</v>
      </c>
      <c r="G367" t="s">
        <v>42</v>
      </c>
      <c r="I367" s="1" t="s">
        <v>30</v>
      </c>
      <c r="J367" s="1">
        <v>0.75</v>
      </c>
      <c r="K367" s="7">
        <v>625.5</v>
      </c>
      <c r="L367">
        <v>36</v>
      </c>
      <c r="M367" s="7">
        <f>Tabell1[[#This Row],[Salgspris]]*Tabell1[[#This Row],[Totalt antall]]</f>
        <v>22518</v>
      </c>
      <c r="N367">
        <v>12</v>
      </c>
      <c r="R367">
        <v>6</v>
      </c>
      <c r="T367">
        <v>6</v>
      </c>
      <c r="U367">
        <v>12</v>
      </c>
      <c r="X367"/>
      <c r="Y367" s="3"/>
    </row>
    <row r="368" spans="1:25" ht="32.1" customHeight="1" x14ac:dyDescent="0.25">
      <c r="A368" s="1">
        <v>12764501</v>
      </c>
      <c r="B368" t="s">
        <v>340</v>
      </c>
      <c r="C368" t="s">
        <v>74</v>
      </c>
      <c r="D368" s="1">
        <v>2018</v>
      </c>
      <c r="E368" t="s">
        <v>26</v>
      </c>
      <c r="F368" t="s">
        <v>27</v>
      </c>
      <c r="G368" t="s">
        <v>74</v>
      </c>
      <c r="I368" s="1" t="s">
        <v>30</v>
      </c>
      <c r="J368" s="1">
        <v>0.75</v>
      </c>
      <c r="K368" s="7">
        <v>855</v>
      </c>
      <c r="L368">
        <v>60</v>
      </c>
      <c r="M368" s="7">
        <f>Tabell1[[#This Row],[Salgspris]]*Tabell1[[#This Row],[Totalt antall]]</f>
        <v>51300</v>
      </c>
      <c r="N368">
        <v>24</v>
      </c>
      <c r="O368">
        <v>6</v>
      </c>
      <c r="P368">
        <v>6</v>
      </c>
      <c r="Q368">
        <v>6</v>
      </c>
      <c r="S368">
        <v>6</v>
      </c>
      <c r="U368">
        <v>6</v>
      </c>
      <c r="V368">
        <v>6</v>
      </c>
      <c r="X368"/>
      <c r="Y368" s="3"/>
    </row>
    <row r="369" spans="1:25" ht="32.1" customHeight="1" x14ac:dyDescent="0.25">
      <c r="A369" s="1">
        <v>12765701</v>
      </c>
      <c r="B369" t="s">
        <v>340</v>
      </c>
      <c r="C369" t="s">
        <v>346</v>
      </c>
      <c r="D369" s="1">
        <v>2018</v>
      </c>
      <c r="E369" t="s">
        <v>26</v>
      </c>
      <c r="F369" t="s">
        <v>27</v>
      </c>
      <c r="G369" t="s">
        <v>74</v>
      </c>
      <c r="H369" t="s">
        <v>29</v>
      </c>
      <c r="I369" s="1" t="s">
        <v>30</v>
      </c>
      <c r="J369" s="1">
        <v>0.75</v>
      </c>
      <c r="K369" s="7">
        <v>4037.5</v>
      </c>
      <c r="L369">
        <v>12</v>
      </c>
      <c r="M369" s="7">
        <f>Tabell1[[#This Row],[Salgspris]]*Tabell1[[#This Row],[Totalt antall]]</f>
        <v>48450</v>
      </c>
      <c r="N369">
        <v>6</v>
      </c>
      <c r="O369">
        <v>2</v>
      </c>
      <c r="Q369">
        <v>2</v>
      </c>
      <c r="V369">
        <v>2</v>
      </c>
      <c r="X369"/>
      <c r="Y369" s="3"/>
    </row>
    <row r="370" spans="1:25" ht="32.1" customHeight="1" x14ac:dyDescent="0.25">
      <c r="A370" s="1">
        <v>12764901</v>
      </c>
      <c r="B370" t="s">
        <v>340</v>
      </c>
      <c r="C370" t="s">
        <v>207</v>
      </c>
      <c r="D370" s="1">
        <v>2018</v>
      </c>
      <c r="E370" t="s">
        <v>26</v>
      </c>
      <c r="F370" t="s">
        <v>27</v>
      </c>
      <c r="G370" t="s">
        <v>77</v>
      </c>
      <c r="H370" t="s">
        <v>38</v>
      </c>
      <c r="I370" s="1" t="s">
        <v>30</v>
      </c>
      <c r="J370" s="1">
        <v>0.75</v>
      </c>
      <c r="K370" s="7">
        <v>2757.8</v>
      </c>
      <c r="L370">
        <v>84</v>
      </c>
      <c r="M370" s="7">
        <f>Tabell1[[#This Row],[Salgspris]]*Tabell1[[#This Row],[Totalt antall]]</f>
        <v>231655.2</v>
      </c>
      <c r="N370">
        <v>18</v>
      </c>
      <c r="O370">
        <v>12</v>
      </c>
      <c r="P370">
        <v>3</v>
      </c>
      <c r="Q370">
        <v>12</v>
      </c>
      <c r="R370">
        <v>3</v>
      </c>
      <c r="S370">
        <v>3</v>
      </c>
      <c r="T370">
        <v>3</v>
      </c>
      <c r="U370">
        <v>24</v>
      </c>
      <c r="V370">
        <v>6</v>
      </c>
      <c r="X370"/>
      <c r="Y370" s="3"/>
    </row>
    <row r="371" spans="1:25" ht="32.1" customHeight="1" x14ac:dyDescent="0.25">
      <c r="A371" s="1">
        <v>12764701</v>
      </c>
      <c r="B371" t="s">
        <v>340</v>
      </c>
      <c r="C371" t="s">
        <v>347</v>
      </c>
      <c r="D371" s="1">
        <v>2018</v>
      </c>
      <c r="E371" t="s">
        <v>26</v>
      </c>
      <c r="F371" t="s">
        <v>27</v>
      </c>
      <c r="I371" s="1" t="s">
        <v>30</v>
      </c>
      <c r="J371" s="1">
        <v>0.75</v>
      </c>
      <c r="K371" s="7">
        <v>380.7</v>
      </c>
      <c r="L371">
        <v>72</v>
      </c>
      <c r="M371" s="7">
        <f>Tabell1[[#This Row],[Salgspris]]*Tabell1[[#This Row],[Totalt antall]]</f>
        <v>27410.399999999998</v>
      </c>
      <c r="N371">
        <v>24</v>
      </c>
      <c r="T371">
        <v>6</v>
      </c>
      <c r="U371">
        <v>24</v>
      </c>
      <c r="V371">
        <v>6</v>
      </c>
      <c r="W371">
        <v>6</v>
      </c>
      <c r="X371">
        <v>6</v>
      </c>
      <c r="Y371" s="3"/>
    </row>
    <row r="372" spans="1:25" ht="32.1" customHeight="1" x14ac:dyDescent="0.25">
      <c r="A372" s="1">
        <v>12763801</v>
      </c>
      <c r="B372" t="s">
        <v>340</v>
      </c>
      <c r="C372" t="s">
        <v>348</v>
      </c>
      <c r="D372" s="1">
        <v>2018</v>
      </c>
      <c r="E372" t="s">
        <v>26</v>
      </c>
      <c r="F372" t="s">
        <v>27</v>
      </c>
      <c r="I372" s="1" t="s">
        <v>30</v>
      </c>
      <c r="J372" s="1">
        <v>0.75</v>
      </c>
      <c r="K372" s="7">
        <v>380.7</v>
      </c>
      <c r="L372">
        <v>60</v>
      </c>
      <c r="M372" s="7">
        <f>Tabell1[[#This Row],[Salgspris]]*Tabell1[[#This Row],[Totalt antall]]</f>
        <v>22842</v>
      </c>
      <c r="N372">
        <v>24</v>
      </c>
      <c r="O372">
        <v>6</v>
      </c>
      <c r="P372">
        <v>6</v>
      </c>
      <c r="Q372">
        <v>6</v>
      </c>
      <c r="R372">
        <v>6</v>
      </c>
      <c r="S372">
        <v>6</v>
      </c>
      <c r="U372">
        <v>6</v>
      </c>
      <c r="X372"/>
      <c r="Y372" s="3"/>
    </row>
    <row r="373" spans="1:25" ht="32.1" customHeight="1" x14ac:dyDescent="0.25">
      <c r="A373" s="1">
        <v>12693401</v>
      </c>
      <c r="B373" t="s">
        <v>349</v>
      </c>
      <c r="C373" t="s">
        <v>350</v>
      </c>
      <c r="D373" s="1">
        <v>2019</v>
      </c>
      <c r="E373" t="s">
        <v>26</v>
      </c>
      <c r="F373" t="s">
        <v>27</v>
      </c>
      <c r="G373" t="s">
        <v>150</v>
      </c>
      <c r="I373" s="1" t="s">
        <v>45</v>
      </c>
      <c r="J373" s="1">
        <v>0.75</v>
      </c>
      <c r="K373" s="7">
        <v>365.6</v>
      </c>
      <c r="L373">
        <v>240</v>
      </c>
      <c r="M373" s="7">
        <f>Tabell1[[#This Row],[Salgspris]]*Tabell1[[#This Row],[Totalt antall]]</f>
        <v>87744</v>
      </c>
      <c r="N373">
        <v>48</v>
      </c>
      <c r="O373">
        <v>24</v>
      </c>
      <c r="P373">
        <v>18</v>
      </c>
      <c r="Q373">
        <v>24</v>
      </c>
      <c r="R373">
        <v>12</v>
      </c>
      <c r="S373">
        <v>18</v>
      </c>
      <c r="T373">
        <v>18</v>
      </c>
      <c r="U373">
        <v>30</v>
      </c>
      <c r="V373">
        <v>24</v>
      </c>
      <c r="W373">
        <v>12</v>
      </c>
      <c r="X373">
        <v>12</v>
      </c>
      <c r="Y373" s="3"/>
    </row>
    <row r="374" spans="1:25" ht="32.1" customHeight="1" x14ac:dyDescent="0.25">
      <c r="A374" s="1">
        <v>12693701</v>
      </c>
      <c r="B374" t="s">
        <v>349</v>
      </c>
      <c r="C374" t="s">
        <v>351</v>
      </c>
      <c r="D374" s="1">
        <v>2019</v>
      </c>
      <c r="E374" t="s">
        <v>26</v>
      </c>
      <c r="F374" t="s">
        <v>27</v>
      </c>
      <c r="G374" t="s">
        <v>351</v>
      </c>
      <c r="I374" s="1" t="s">
        <v>45</v>
      </c>
      <c r="J374" s="1">
        <v>0.75</v>
      </c>
      <c r="K374" s="7">
        <v>305.2</v>
      </c>
      <c r="L374">
        <v>240</v>
      </c>
      <c r="M374" s="7">
        <f>Tabell1[[#This Row],[Salgspris]]*Tabell1[[#This Row],[Totalt antall]]</f>
        <v>73248</v>
      </c>
      <c r="N374">
        <v>48</v>
      </c>
      <c r="O374">
        <v>24</v>
      </c>
      <c r="P374">
        <v>18</v>
      </c>
      <c r="Q374">
        <v>24</v>
      </c>
      <c r="R374">
        <v>12</v>
      </c>
      <c r="S374">
        <v>18</v>
      </c>
      <c r="T374">
        <v>18</v>
      </c>
      <c r="U374">
        <v>30</v>
      </c>
      <c r="V374">
        <v>24</v>
      </c>
      <c r="W374">
        <v>12</v>
      </c>
      <c r="X374">
        <v>12</v>
      </c>
      <c r="Y374" s="3"/>
    </row>
    <row r="375" spans="1:25" ht="32.1" customHeight="1" x14ac:dyDescent="0.25">
      <c r="A375" s="1">
        <v>12693101</v>
      </c>
      <c r="B375" t="s">
        <v>349</v>
      </c>
      <c r="C375" t="s">
        <v>352</v>
      </c>
      <c r="D375" s="1">
        <v>2018</v>
      </c>
      <c r="E375" t="s">
        <v>26</v>
      </c>
      <c r="F375" t="s">
        <v>27</v>
      </c>
      <c r="G375" t="s">
        <v>353</v>
      </c>
      <c r="I375" s="1" t="s">
        <v>45</v>
      </c>
      <c r="J375" s="1">
        <v>0.75</v>
      </c>
      <c r="K375" s="7">
        <v>274.89999999999998</v>
      </c>
      <c r="L375">
        <v>240</v>
      </c>
      <c r="M375" s="7">
        <f>Tabell1[[#This Row],[Salgspris]]*Tabell1[[#This Row],[Totalt antall]]</f>
        <v>65976</v>
      </c>
      <c r="N375">
        <v>48</v>
      </c>
      <c r="O375">
        <v>24</v>
      </c>
      <c r="P375">
        <v>18</v>
      </c>
      <c r="Q375">
        <v>24</v>
      </c>
      <c r="R375">
        <v>12</v>
      </c>
      <c r="S375">
        <v>18</v>
      </c>
      <c r="T375">
        <v>18</v>
      </c>
      <c r="U375">
        <v>30</v>
      </c>
      <c r="V375">
        <v>24</v>
      </c>
      <c r="W375">
        <v>12</v>
      </c>
      <c r="X375">
        <v>12</v>
      </c>
      <c r="Y375" s="3"/>
    </row>
    <row r="376" spans="1:25" ht="32.1" customHeight="1" x14ac:dyDescent="0.25">
      <c r="A376" s="1">
        <v>12700501</v>
      </c>
      <c r="B376" t="s">
        <v>354</v>
      </c>
      <c r="C376" t="s">
        <v>355</v>
      </c>
      <c r="D376" s="1">
        <v>2018</v>
      </c>
      <c r="E376" t="s">
        <v>26</v>
      </c>
      <c r="F376" t="s">
        <v>27</v>
      </c>
      <c r="G376" t="s">
        <v>282</v>
      </c>
      <c r="I376" s="1" t="s">
        <v>30</v>
      </c>
      <c r="J376" s="1">
        <v>0.75</v>
      </c>
      <c r="K376" s="7">
        <v>478.5</v>
      </c>
      <c r="L376">
        <v>23</v>
      </c>
      <c r="M376" s="7">
        <f>Tabell1[[#This Row],[Salgspris]]*Tabell1[[#This Row],[Totalt antall]]</f>
        <v>11005.5</v>
      </c>
      <c r="N376">
        <v>11</v>
      </c>
      <c r="S376">
        <v>6</v>
      </c>
      <c r="T376">
        <v>6</v>
      </c>
      <c r="X376"/>
      <c r="Y376" s="3"/>
    </row>
    <row r="377" spans="1:25" ht="32.1" customHeight="1" x14ac:dyDescent="0.25">
      <c r="A377" s="1">
        <v>12701101</v>
      </c>
      <c r="B377" t="s">
        <v>354</v>
      </c>
      <c r="C377" t="s">
        <v>205</v>
      </c>
      <c r="D377" s="1">
        <v>2018</v>
      </c>
      <c r="E377" t="s">
        <v>26</v>
      </c>
      <c r="F377" t="s">
        <v>27</v>
      </c>
      <c r="G377" t="s">
        <v>63</v>
      </c>
      <c r="H377" t="s">
        <v>38</v>
      </c>
      <c r="I377" s="1" t="s">
        <v>30</v>
      </c>
      <c r="J377" s="1">
        <v>0.75</v>
      </c>
      <c r="K377" s="7">
        <v>1827.9</v>
      </c>
      <c r="L377">
        <v>23</v>
      </c>
      <c r="M377" s="7">
        <f>Tabell1[[#This Row],[Salgspris]]*Tabell1[[#This Row],[Totalt antall]]</f>
        <v>42041.700000000004</v>
      </c>
      <c r="N377">
        <v>10</v>
      </c>
      <c r="O377">
        <v>2</v>
      </c>
      <c r="P377">
        <v>1</v>
      </c>
      <c r="Q377">
        <v>2</v>
      </c>
      <c r="R377">
        <v>1</v>
      </c>
      <c r="S377">
        <v>1</v>
      </c>
      <c r="T377">
        <v>1</v>
      </c>
      <c r="U377">
        <v>3</v>
      </c>
      <c r="V377">
        <v>2</v>
      </c>
      <c r="X377"/>
      <c r="Y377" s="3"/>
    </row>
    <row r="378" spans="1:25" ht="32.1" customHeight="1" x14ac:dyDescent="0.25">
      <c r="A378" s="1">
        <v>12701201</v>
      </c>
      <c r="B378" t="s">
        <v>354</v>
      </c>
      <c r="C378" t="s">
        <v>62</v>
      </c>
      <c r="D378" s="1">
        <v>2018</v>
      </c>
      <c r="E378" t="s">
        <v>26</v>
      </c>
      <c r="F378" t="s">
        <v>27</v>
      </c>
      <c r="G378" t="s">
        <v>63</v>
      </c>
      <c r="H378" t="s">
        <v>38</v>
      </c>
      <c r="I378" s="1" t="s">
        <v>30</v>
      </c>
      <c r="J378" s="1">
        <v>0.75</v>
      </c>
      <c r="K378" s="7">
        <v>2779.3</v>
      </c>
      <c r="L378">
        <v>6</v>
      </c>
      <c r="M378" s="7">
        <f>Tabell1[[#This Row],[Salgspris]]*Tabell1[[#This Row],[Totalt antall]]</f>
        <v>16675.800000000003</v>
      </c>
      <c r="N378">
        <v>3</v>
      </c>
      <c r="T378">
        <v>1</v>
      </c>
      <c r="U378">
        <v>1</v>
      </c>
      <c r="V378">
        <v>1</v>
      </c>
      <c r="X378"/>
      <c r="Y378" s="3"/>
    </row>
    <row r="379" spans="1:25" ht="32.1" customHeight="1" x14ac:dyDescent="0.25">
      <c r="A379" s="1">
        <v>12700401</v>
      </c>
      <c r="B379" t="s">
        <v>354</v>
      </c>
      <c r="C379" t="s">
        <v>176</v>
      </c>
      <c r="D379" s="1">
        <v>2018</v>
      </c>
      <c r="E379" t="s">
        <v>26</v>
      </c>
      <c r="F379" t="s">
        <v>27</v>
      </c>
      <c r="G379" t="s">
        <v>176</v>
      </c>
      <c r="I379" s="1" t="s">
        <v>30</v>
      </c>
      <c r="J379" s="1">
        <v>0.75</v>
      </c>
      <c r="K379" s="7">
        <v>478.5</v>
      </c>
      <c r="L379">
        <v>11</v>
      </c>
      <c r="M379" s="7">
        <f>Tabell1[[#This Row],[Salgspris]]*Tabell1[[#This Row],[Totalt antall]]</f>
        <v>5263.5</v>
      </c>
      <c r="N379">
        <v>5</v>
      </c>
      <c r="U379">
        <v>6</v>
      </c>
      <c r="X379"/>
      <c r="Y379" s="3"/>
    </row>
    <row r="380" spans="1:25" ht="32.1" customHeight="1" x14ac:dyDescent="0.25">
      <c r="A380" s="1">
        <v>12701001</v>
      </c>
      <c r="B380" t="s">
        <v>354</v>
      </c>
      <c r="C380" t="s">
        <v>74</v>
      </c>
      <c r="D380" s="1">
        <v>2018</v>
      </c>
      <c r="E380" t="s">
        <v>26</v>
      </c>
      <c r="F380" t="s">
        <v>27</v>
      </c>
      <c r="G380" t="s">
        <v>74</v>
      </c>
      <c r="I380" s="1" t="s">
        <v>30</v>
      </c>
      <c r="J380" s="1">
        <v>0.75</v>
      </c>
      <c r="K380" s="7">
        <v>841.8</v>
      </c>
      <c r="L380">
        <v>6</v>
      </c>
      <c r="M380" s="7">
        <f>Tabell1[[#This Row],[Salgspris]]*Tabell1[[#This Row],[Totalt antall]]</f>
        <v>5050.7999999999993</v>
      </c>
      <c r="N380">
        <v>3</v>
      </c>
      <c r="P380">
        <v>1</v>
      </c>
      <c r="R380">
        <v>1</v>
      </c>
      <c r="S380">
        <v>1</v>
      </c>
      <c r="X380"/>
      <c r="Y380" s="3"/>
    </row>
    <row r="381" spans="1:25" ht="32.1" customHeight="1" x14ac:dyDescent="0.25">
      <c r="A381" s="1">
        <v>12700901</v>
      </c>
      <c r="B381" t="s">
        <v>354</v>
      </c>
      <c r="C381" t="s">
        <v>75</v>
      </c>
      <c r="D381" s="1">
        <v>2018</v>
      </c>
      <c r="E381" t="s">
        <v>26</v>
      </c>
      <c r="F381" t="s">
        <v>27</v>
      </c>
      <c r="G381" t="s">
        <v>74</v>
      </c>
      <c r="H381" t="s">
        <v>29</v>
      </c>
      <c r="I381" s="1" t="s">
        <v>30</v>
      </c>
      <c r="J381" s="1">
        <v>0.75</v>
      </c>
      <c r="K381" s="7">
        <v>1308.9000000000001</v>
      </c>
      <c r="L381">
        <v>5</v>
      </c>
      <c r="M381" s="7">
        <f>Tabell1[[#This Row],[Salgspris]]*Tabell1[[#This Row],[Totalt antall]]</f>
        <v>6544.5</v>
      </c>
      <c r="N381">
        <v>3</v>
      </c>
      <c r="O381">
        <v>1</v>
      </c>
      <c r="Q381">
        <v>1</v>
      </c>
      <c r="X381"/>
      <c r="Y381" s="3"/>
    </row>
    <row r="382" spans="1:25" ht="32.1" customHeight="1" x14ac:dyDescent="0.25">
      <c r="A382" s="1">
        <v>12700801</v>
      </c>
      <c r="B382" t="s">
        <v>354</v>
      </c>
      <c r="C382" t="s">
        <v>356</v>
      </c>
      <c r="D382" s="1">
        <v>2018</v>
      </c>
      <c r="E382" t="s">
        <v>26</v>
      </c>
      <c r="F382" t="s">
        <v>27</v>
      </c>
      <c r="G382" t="s">
        <v>77</v>
      </c>
      <c r="H382" t="s">
        <v>38</v>
      </c>
      <c r="I382" s="1" t="s">
        <v>30</v>
      </c>
      <c r="J382" s="1">
        <v>0.75</v>
      </c>
      <c r="K382" s="7">
        <v>1827.9</v>
      </c>
      <c r="L382">
        <v>18</v>
      </c>
      <c r="M382" s="7">
        <f>Tabell1[[#This Row],[Salgspris]]*Tabell1[[#This Row],[Totalt antall]]</f>
        <v>32902.200000000004</v>
      </c>
      <c r="N382">
        <v>8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3</v>
      </c>
      <c r="V382">
        <v>1</v>
      </c>
      <c r="X382"/>
      <c r="Y382" s="3"/>
    </row>
    <row r="383" spans="1:25" ht="32.1" customHeight="1" x14ac:dyDescent="0.25">
      <c r="A383" s="1">
        <v>12700601</v>
      </c>
      <c r="B383" t="s">
        <v>354</v>
      </c>
      <c r="C383" t="s">
        <v>52</v>
      </c>
      <c r="D383" s="1">
        <v>2018</v>
      </c>
      <c r="E383" t="s">
        <v>26</v>
      </c>
      <c r="F383" t="s">
        <v>27</v>
      </c>
      <c r="I383" s="1" t="s">
        <v>30</v>
      </c>
      <c r="J383" s="1">
        <v>0.75</v>
      </c>
      <c r="K383" s="7">
        <v>392</v>
      </c>
      <c r="L383">
        <v>23</v>
      </c>
      <c r="M383" s="7">
        <f>Tabell1[[#This Row],[Salgspris]]*Tabell1[[#This Row],[Totalt antall]]</f>
        <v>9016</v>
      </c>
      <c r="N383">
        <v>11</v>
      </c>
      <c r="O383">
        <v>6</v>
      </c>
      <c r="P383">
        <v>6</v>
      </c>
      <c r="X383"/>
      <c r="Y383" s="3"/>
    </row>
    <row r="384" spans="1:25" ht="32.1" customHeight="1" x14ac:dyDescent="0.25">
      <c r="A384" s="1">
        <v>12700701</v>
      </c>
      <c r="B384" t="s">
        <v>354</v>
      </c>
      <c r="C384" t="s">
        <v>357</v>
      </c>
      <c r="D384" s="1">
        <v>2018</v>
      </c>
      <c r="E384" t="s">
        <v>26</v>
      </c>
      <c r="F384" t="s">
        <v>27</v>
      </c>
      <c r="I384" s="1" t="s">
        <v>30</v>
      </c>
      <c r="J384" s="1">
        <v>0.75</v>
      </c>
      <c r="K384" s="7">
        <v>461.2</v>
      </c>
      <c r="L384">
        <v>23</v>
      </c>
      <c r="M384" s="7">
        <f>Tabell1[[#This Row],[Salgspris]]*Tabell1[[#This Row],[Totalt antall]]</f>
        <v>10607.6</v>
      </c>
      <c r="N384">
        <v>11</v>
      </c>
      <c r="Q384">
        <v>6</v>
      </c>
      <c r="R384">
        <v>6</v>
      </c>
      <c r="X384"/>
      <c r="Y384" s="3"/>
    </row>
    <row r="385" spans="1:25" ht="32.1" customHeight="1" x14ac:dyDescent="0.25">
      <c r="A385" s="1">
        <v>12721901</v>
      </c>
      <c r="B385" t="s">
        <v>358</v>
      </c>
      <c r="C385" t="s">
        <v>119</v>
      </c>
      <c r="D385" s="1">
        <v>2018</v>
      </c>
      <c r="E385" t="s">
        <v>26</v>
      </c>
      <c r="F385" t="s">
        <v>27</v>
      </c>
      <c r="G385" t="s">
        <v>120</v>
      </c>
      <c r="H385" t="s">
        <v>38</v>
      </c>
      <c r="I385" s="1" t="s">
        <v>45</v>
      </c>
      <c r="J385" s="1">
        <v>0.75</v>
      </c>
      <c r="K385" s="7">
        <v>2000.4</v>
      </c>
      <c r="L385">
        <v>24</v>
      </c>
      <c r="M385" s="7">
        <f>Tabell1[[#This Row],[Salgspris]]*Tabell1[[#This Row],[Totalt antall]]</f>
        <v>48009.600000000006</v>
      </c>
      <c r="N385">
        <v>12</v>
      </c>
      <c r="O385">
        <v>3</v>
      </c>
      <c r="Q385">
        <v>3</v>
      </c>
      <c r="U385">
        <v>3</v>
      </c>
      <c r="V385">
        <v>3</v>
      </c>
      <c r="X385"/>
      <c r="Y385" s="3"/>
    </row>
    <row r="386" spans="1:25" ht="32.1" customHeight="1" x14ac:dyDescent="0.25">
      <c r="A386" s="1">
        <v>12720901</v>
      </c>
      <c r="B386" t="s">
        <v>358</v>
      </c>
      <c r="C386" t="s">
        <v>359</v>
      </c>
      <c r="D386" s="1">
        <v>2018</v>
      </c>
      <c r="E386" t="s">
        <v>26</v>
      </c>
      <c r="F386" t="s">
        <v>27</v>
      </c>
      <c r="G386" t="s">
        <v>55</v>
      </c>
      <c r="H386" t="s">
        <v>29</v>
      </c>
      <c r="I386" s="1" t="s">
        <v>45</v>
      </c>
      <c r="J386" s="1">
        <v>0.75</v>
      </c>
      <c r="K386" s="7">
        <v>1500.4</v>
      </c>
      <c r="L386">
        <v>30</v>
      </c>
      <c r="M386" s="7">
        <f>Tabell1[[#This Row],[Salgspris]]*Tabell1[[#This Row],[Totalt antall]]</f>
        <v>45012</v>
      </c>
      <c r="N386">
        <v>12</v>
      </c>
      <c r="O386">
        <v>3</v>
      </c>
      <c r="P386">
        <v>3</v>
      </c>
      <c r="Q386">
        <v>3</v>
      </c>
      <c r="T386">
        <v>3</v>
      </c>
      <c r="U386">
        <v>3</v>
      </c>
      <c r="V386">
        <v>3</v>
      </c>
      <c r="X386"/>
      <c r="Y386" s="3"/>
    </row>
    <row r="387" spans="1:25" ht="32.1" customHeight="1" x14ac:dyDescent="0.25">
      <c r="A387" s="1">
        <v>12721201</v>
      </c>
      <c r="B387" t="s">
        <v>358</v>
      </c>
      <c r="C387" t="s">
        <v>236</v>
      </c>
      <c r="D387" s="1">
        <v>2018</v>
      </c>
      <c r="E387" t="s">
        <v>26</v>
      </c>
      <c r="F387" t="s">
        <v>27</v>
      </c>
      <c r="G387" t="s">
        <v>55</v>
      </c>
      <c r="H387" t="s">
        <v>29</v>
      </c>
      <c r="I387" s="1" t="s">
        <v>45</v>
      </c>
      <c r="J387" s="1">
        <v>0.75</v>
      </c>
      <c r="K387" s="7">
        <v>1500.4</v>
      </c>
      <c r="L387">
        <v>30</v>
      </c>
      <c r="M387" s="7">
        <f>Tabell1[[#This Row],[Salgspris]]*Tabell1[[#This Row],[Totalt antall]]</f>
        <v>45012</v>
      </c>
      <c r="N387">
        <v>12</v>
      </c>
      <c r="O387">
        <v>3</v>
      </c>
      <c r="Q387">
        <v>3</v>
      </c>
      <c r="S387">
        <v>3</v>
      </c>
      <c r="T387">
        <v>3</v>
      </c>
      <c r="U387">
        <v>3</v>
      </c>
      <c r="V387">
        <v>3</v>
      </c>
      <c r="X387"/>
      <c r="Y387" s="3"/>
    </row>
    <row r="388" spans="1:25" ht="32.1" customHeight="1" x14ac:dyDescent="0.25">
      <c r="A388" s="1">
        <v>12721701</v>
      </c>
      <c r="B388" t="s">
        <v>358</v>
      </c>
      <c r="C388" t="s">
        <v>210</v>
      </c>
      <c r="D388" s="1">
        <v>2018</v>
      </c>
      <c r="E388" t="s">
        <v>26</v>
      </c>
      <c r="F388" t="s">
        <v>27</v>
      </c>
      <c r="G388" t="s">
        <v>120</v>
      </c>
      <c r="H388" t="s">
        <v>38</v>
      </c>
      <c r="I388" s="1" t="s">
        <v>45</v>
      </c>
      <c r="J388" s="1">
        <v>0.75</v>
      </c>
      <c r="K388" s="7">
        <v>1650.3</v>
      </c>
      <c r="L388">
        <v>24</v>
      </c>
      <c r="M388" s="7">
        <f>Tabell1[[#This Row],[Salgspris]]*Tabell1[[#This Row],[Totalt antall]]</f>
        <v>39607.199999999997</v>
      </c>
      <c r="N388">
        <v>12</v>
      </c>
      <c r="O388">
        <v>3</v>
      </c>
      <c r="Q388">
        <v>3</v>
      </c>
      <c r="U388">
        <v>3</v>
      </c>
      <c r="V388">
        <v>3</v>
      </c>
      <c r="X388"/>
      <c r="Y388" s="3"/>
    </row>
    <row r="389" spans="1:25" ht="32.1" customHeight="1" x14ac:dyDescent="0.25">
      <c r="A389" s="1">
        <v>12721401</v>
      </c>
      <c r="B389" t="s">
        <v>358</v>
      </c>
      <c r="C389" t="s">
        <v>138</v>
      </c>
      <c r="D389" s="1">
        <v>2018</v>
      </c>
      <c r="E389" t="s">
        <v>26</v>
      </c>
      <c r="F389" t="s">
        <v>27</v>
      </c>
      <c r="G389" t="s">
        <v>57</v>
      </c>
      <c r="H389" t="s">
        <v>29</v>
      </c>
      <c r="I389" s="1" t="s">
        <v>45</v>
      </c>
      <c r="J389" s="1">
        <v>0.75</v>
      </c>
      <c r="K389" s="7">
        <v>1650.3</v>
      </c>
      <c r="L389">
        <v>24</v>
      </c>
      <c r="M389" s="7">
        <f>Tabell1[[#This Row],[Salgspris]]*Tabell1[[#This Row],[Totalt antall]]</f>
        <v>39607.199999999997</v>
      </c>
      <c r="N389">
        <v>12</v>
      </c>
      <c r="O389">
        <v>3</v>
      </c>
      <c r="Q389">
        <v>3</v>
      </c>
      <c r="U389">
        <v>3</v>
      </c>
      <c r="V389">
        <v>3</v>
      </c>
      <c r="X389"/>
      <c r="Y389" s="3"/>
    </row>
    <row r="390" spans="1:25" ht="32.1" customHeight="1" x14ac:dyDescent="0.25">
      <c r="A390" s="1">
        <v>12721301</v>
      </c>
      <c r="B390" t="s">
        <v>358</v>
      </c>
      <c r="C390" t="s">
        <v>59</v>
      </c>
      <c r="D390" s="1">
        <v>2018</v>
      </c>
      <c r="E390" t="s">
        <v>26</v>
      </c>
      <c r="F390" t="s">
        <v>27</v>
      </c>
      <c r="G390" t="s">
        <v>57</v>
      </c>
      <c r="H390" t="s">
        <v>29</v>
      </c>
      <c r="I390" s="1" t="s">
        <v>45</v>
      </c>
      <c r="J390" s="1">
        <v>0.75</v>
      </c>
      <c r="K390" s="7">
        <v>1800.3</v>
      </c>
      <c r="L390">
        <v>36</v>
      </c>
      <c r="M390" s="7">
        <f>Tabell1[[#This Row],[Salgspris]]*Tabell1[[#This Row],[Totalt antall]]</f>
        <v>64810.799999999996</v>
      </c>
      <c r="N390">
        <v>18</v>
      </c>
      <c r="O390">
        <v>3</v>
      </c>
      <c r="P390">
        <v>3</v>
      </c>
      <c r="Q390">
        <v>3</v>
      </c>
      <c r="R390">
        <v>3</v>
      </c>
      <c r="U390">
        <v>3</v>
      </c>
      <c r="V390">
        <v>3</v>
      </c>
      <c r="X390"/>
      <c r="Y390" s="3"/>
    </row>
    <row r="391" spans="1:25" ht="32.1" customHeight="1" x14ac:dyDescent="0.25">
      <c r="A391" s="1">
        <v>12721601</v>
      </c>
      <c r="B391" t="s">
        <v>358</v>
      </c>
      <c r="C391" t="s">
        <v>133</v>
      </c>
      <c r="D391" s="1">
        <v>2018</v>
      </c>
      <c r="E391" t="s">
        <v>26</v>
      </c>
      <c r="F391" t="s">
        <v>27</v>
      </c>
      <c r="G391" t="s">
        <v>99</v>
      </c>
      <c r="H391" t="s">
        <v>29</v>
      </c>
      <c r="I391" s="1" t="s">
        <v>45</v>
      </c>
      <c r="J391" s="1">
        <v>0.75</v>
      </c>
      <c r="K391" s="7">
        <v>1700.4</v>
      </c>
      <c r="L391">
        <v>24</v>
      </c>
      <c r="M391" s="7">
        <f>Tabell1[[#This Row],[Salgspris]]*Tabell1[[#This Row],[Totalt antall]]</f>
        <v>40809.600000000006</v>
      </c>
      <c r="N391">
        <v>12</v>
      </c>
      <c r="O391">
        <v>3</v>
      </c>
      <c r="Q391">
        <v>3</v>
      </c>
      <c r="U391">
        <v>3</v>
      </c>
      <c r="V391">
        <v>3</v>
      </c>
      <c r="X391"/>
      <c r="Y391" s="3"/>
    </row>
    <row r="392" spans="1:25" ht="32.1" customHeight="1" x14ac:dyDescent="0.25">
      <c r="A392" s="1">
        <v>12721001</v>
      </c>
      <c r="B392" t="s">
        <v>358</v>
      </c>
      <c r="C392" t="s">
        <v>52</v>
      </c>
      <c r="D392" s="1">
        <v>2018</v>
      </c>
      <c r="E392" t="s">
        <v>26</v>
      </c>
      <c r="F392" t="s">
        <v>27</v>
      </c>
      <c r="I392" s="1" t="s">
        <v>45</v>
      </c>
      <c r="J392" s="1">
        <v>0.75</v>
      </c>
      <c r="K392" s="7">
        <v>550.29999999999995</v>
      </c>
      <c r="L392">
        <v>300</v>
      </c>
      <c r="M392" s="7">
        <f>Tabell1[[#This Row],[Salgspris]]*Tabell1[[#This Row],[Totalt antall]]</f>
        <v>165090</v>
      </c>
      <c r="N392">
        <v>54</v>
      </c>
      <c r="O392">
        <v>30</v>
      </c>
      <c r="P392">
        <v>24</v>
      </c>
      <c r="Q392">
        <v>30</v>
      </c>
      <c r="R392">
        <v>12</v>
      </c>
      <c r="S392">
        <v>24</v>
      </c>
      <c r="T392">
        <v>24</v>
      </c>
      <c r="U392">
        <v>42</v>
      </c>
      <c r="V392">
        <v>36</v>
      </c>
      <c r="W392">
        <v>12</v>
      </c>
      <c r="X392">
        <v>12</v>
      </c>
      <c r="Y392" s="3"/>
    </row>
    <row r="393" spans="1:25" ht="32.1" customHeight="1" x14ac:dyDescent="0.25">
      <c r="A393" s="1">
        <v>12722201</v>
      </c>
      <c r="B393" t="s">
        <v>358</v>
      </c>
      <c r="C393" t="s">
        <v>209</v>
      </c>
      <c r="D393" s="1">
        <v>2018</v>
      </c>
      <c r="E393" t="s">
        <v>26</v>
      </c>
      <c r="F393" t="s">
        <v>27</v>
      </c>
      <c r="G393" t="s">
        <v>123</v>
      </c>
      <c r="H393" t="s">
        <v>29</v>
      </c>
      <c r="I393" s="1" t="s">
        <v>30</v>
      </c>
      <c r="J393" s="1">
        <v>0.75</v>
      </c>
      <c r="K393" s="7">
        <v>1000.3</v>
      </c>
      <c r="L393">
        <v>18</v>
      </c>
      <c r="M393" s="7">
        <f>Tabell1[[#This Row],[Salgspris]]*Tabell1[[#This Row],[Totalt antall]]</f>
        <v>18005.399999999998</v>
      </c>
      <c r="N393">
        <v>9</v>
      </c>
      <c r="O393">
        <v>2</v>
      </c>
      <c r="Q393">
        <v>2</v>
      </c>
      <c r="U393">
        <v>3</v>
      </c>
      <c r="V393">
        <v>2</v>
      </c>
      <c r="X393"/>
      <c r="Y393" s="3"/>
    </row>
    <row r="394" spans="1:25" ht="32.1" customHeight="1" x14ac:dyDescent="0.25">
      <c r="A394" s="1">
        <v>12723101</v>
      </c>
      <c r="B394" t="s">
        <v>358</v>
      </c>
      <c r="C394" t="s">
        <v>80</v>
      </c>
      <c r="D394" s="1">
        <v>2018</v>
      </c>
      <c r="E394" t="s">
        <v>26</v>
      </c>
      <c r="F394" t="s">
        <v>27</v>
      </c>
      <c r="G394" t="s">
        <v>67</v>
      </c>
      <c r="H394" t="s">
        <v>29</v>
      </c>
      <c r="I394" s="1" t="s">
        <v>30</v>
      </c>
      <c r="J394" s="1">
        <v>0.75</v>
      </c>
      <c r="K394" s="7">
        <v>3499.9</v>
      </c>
      <c r="L394">
        <v>12</v>
      </c>
      <c r="M394" s="7">
        <f>Tabell1[[#This Row],[Salgspris]]*Tabell1[[#This Row],[Totalt antall]]</f>
        <v>41998.8</v>
      </c>
      <c r="N394">
        <v>6</v>
      </c>
      <c r="O394">
        <v>1</v>
      </c>
      <c r="Q394">
        <v>1</v>
      </c>
      <c r="T394">
        <v>1</v>
      </c>
      <c r="U394">
        <v>2</v>
      </c>
      <c r="V394">
        <v>1</v>
      </c>
      <c r="X394"/>
      <c r="Y394" s="3"/>
    </row>
    <row r="395" spans="1:25" ht="32.1" customHeight="1" x14ac:dyDescent="0.25">
      <c r="A395" s="1">
        <v>12722901</v>
      </c>
      <c r="B395" t="s">
        <v>358</v>
      </c>
      <c r="C395" t="s">
        <v>280</v>
      </c>
      <c r="D395" s="1">
        <v>2018</v>
      </c>
      <c r="E395" t="s">
        <v>26</v>
      </c>
      <c r="F395" t="s">
        <v>27</v>
      </c>
      <c r="G395" t="s">
        <v>67</v>
      </c>
      <c r="H395" t="s">
        <v>29</v>
      </c>
      <c r="I395" s="1" t="s">
        <v>30</v>
      </c>
      <c r="J395" s="1">
        <v>0.75</v>
      </c>
      <c r="K395" s="7">
        <v>1450.3</v>
      </c>
      <c r="L395">
        <v>30</v>
      </c>
      <c r="M395" s="7">
        <f>Tabell1[[#This Row],[Salgspris]]*Tabell1[[#This Row],[Totalt antall]]</f>
        <v>43509</v>
      </c>
      <c r="N395">
        <v>12</v>
      </c>
      <c r="O395">
        <v>3</v>
      </c>
      <c r="Q395">
        <v>3</v>
      </c>
      <c r="R395">
        <v>3</v>
      </c>
      <c r="T395">
        <v>3</v>
      </c>
      <c r="U395">
        <v>3</v>
      </c>
      <c r="V395">
        <v>3</v>
      </c>
      <c r="X395"/>
      <c r="Y395" s="3"/>
    </row>
    <row r="396" spans="1:25" ht="32.1" customHeight="1" x14ac:dyDescent="0.25">
      <c r="A396" s="1">
        <v>12723201</v>
      </c>
      <c r="B396" t="s">
        <v>358</v>
      </c>
      <c r="C396" t="s">
        <v>360</v>
      </c>
      <c r="D396" s="1">
        <v>2018</v>
      </c>
      <c r="E396" t="s">
        <v>26</v>
      </c>
      <c r="F396" t="s">
        <v>27</v>
      </c>
      <c r="G396" t="s">
        <v>67</v>
      </c>
      <c r="H396" t="s">
        <v>29</v>
      </c>
      <c r="I396" s="1" t="s">
        <v>30</v>
      </c>
      <c r="J396" s="1">
        <v>0.75</v>
      </c>
      <c r="K396" s="7">
        <v>1800.3</v>
      </c>
      <c r="L396">
        <v>30</v>
      </c>
      <c r="M396" s="7">
        <f>Tabell1[[#This Row],[Salgspris]]*Tabell1[[#This Row],[Totalt antall]]</f>
        <v>54009</v>
      </c>
      <c r="N396">
        <v>12</v>
      </c>
      <c r="O396">
        <v>3</v>
      </c>
      <c r="Q396">
        <v>3</v>
      </c>
      <c r="S396">
        <v>3</v>
      </c>
      <c r="T396">
        <v>3</v>
      </c>
      <c r="U396">
        <v>3</v>
      </c>
      <c r="V396">
        <v>3</v>
      </c>
      <c r="X396"/>
      <c r="Y396" s="3"/>
    </row>
    <row r="397" spans="1:25" ht="32.1" customHeight="1" x14ac:dyDescent="0.25">
      <c r="A397" s="1">
        <v>12722801</v>
      </c>
      <c r="B397" t="s">
        <v>358</v>
      </c>
      <c r="C397" t="s">
        <v>34</v>
      </c>
      <c r="D397" s="1">
        <v>2018</v>
      </c>
      <c r="E397" t="s">
        <v>26</v>
      </c>
      <c r="F397" t="s">
        <v>27</v>
      </c>
      <c r="G397" t="s">
        <v>35</v>
      </c>
      <c r="H397" t="s">
        <v>29</v>
      </c>
      <c r="I397" s="1" t="s">
        <v>30</v>
      </c>
      <c r="J397" s="1">
        <v>0.75</v>
      </c>
      <c r="K397" s="7">
        <v>1300.3</v>
      </c>
      <c r="L397">
        <v>24</v>
      </c>
      <c r="M397" s="7">
        <f>Tabell1[[#This Row],[Salgspris]]*Tabell1[[#This Row],[Totalt antall]]</f>
        <v>31207.199999999997</v>
      </c>
      <c r="N397">
        <v>12</v>
      </c>
      <c r="O397">
        <v>3</v>
      </c>
      <c r="Q397">
        <v>3</v>
      </c>
      <c r="T397">
        <v>3</v>
      </c>
      <c r="U397">
        <v>3</v>
      </c>
      <c r="X397"/>
      <c r="Y397" s="3"/>
    </row>
    <row r="398" spans="1:25" ht="32.1" customHeight="1" x14ac:dyDescent="0.25">
      <c r="A398" s="1">
        <v>12723001</v>
      </c>
      <c r="B398" t="s">
        <v>358</v>
      </c>
      <c r="C398" t="s">
        <v>226</v>
      </c>
      <c r="D398" s="1">
        <v>2018</v>
      </c>
      <c r="E398" t="s">
        <v>26</v>
      </c>
      <c r="F398" t="s">
        <v>27</v>
      </c>
      <c r="G398" t="s">
        <v>35</v>
      </c>
      <c r="H398" t="s">
        <v>29</v>
      </c>
      <c r="I398" s="1" t="s">
        <v>30</v>
      </c>
      <c r="J398" s="1">
        <v>0.75</v>
      </c>
      <c r="K398" s="7">
        <v>1700.4</v>
      </c>
      <c r="L398">
        <v>30</v>
      </c>
      <c r="M398" s="7">
        <f>Tabell1[[#This Row],[Salgspris]]*Tabell1[[#This Row],[Totalt antall]]</f>
        <v>51012</v>
      </c>
      <c r="N398">
        <v>12</v>
      </c>
      <c r="O398">
        <v>3</v>
      </c>
      <c r="P398">
        <v>3</v>
      </c>
      <c r="Q398">
        <v>3</v>
      </c>
      <c r="T398">
        <v>3</v>
      </c>
      <c r="U398">
        <v>3</v>
      </c>
      <c r="V398">
        <v>3</v>
      </c>
      <c r="X398"/>
      <c r="Y398" s="3"/>
    </row>
    <row r="399" spans="1:25" ht="32.1" customHeight="1" x14ac:dyDescent="0.25">
      <c r="A399" s="1">
        <v>12721801</v>
      </c>
      <c r="B399" t="s">
        <v>358</v>
      </c>
      <c r="C399" t="s">
        <v>285</v>
      </c>
      <c r="D399" s="1">
        <v>2018</v>
      </c>
      <c r="E399" t="s">
        <v>26</v>
      </c>
      <c r="F399" t="s">
        <v>27</v>
      </c>
      <c r="G399" t="s">
        <v>35</v>
      </c>
      <c r="H399" t="s">
        <v>38</v>
      </c>
      <c r="I399" s="1" t="s">
        <v>30</v>
      </c>
      <c r="J399" s="1">
        <v>0.75</v>
      </c>
      <c r="K399" s="7">
        <v>3000.3</v>
      </c>
      <c r="L399">
        <v>24</v>
      </c>
      <c r="M399" s="7">
        <f>Tabell1[[#This Row],[Salgspris]]*Tabell1[[#This Row],[Totalt antall]]</f>
        <v>72007.200000000012</v>
      </c>
      <c r="N399">
        <v>12</v>
      </c>
      <c r="O399">
        <v>3</v>
      </c>
      <c r="Q399">
        <v>3</v>
      </c>
      <c r="U399">
        <v>3</v>
      </c>
      <c r="V399">
        <v>3</v>
      </c>
      <c r="X399"/>
      <c r="Y399" s="3"/>
    </row>
    <row r="400" spans="1:25" ht="32.1" customHeight="1" x14ac:dyDescent="0.25">
      <c r="A400" s="1">
        <v>12722001</v>
      </c>
      <c r="B400" t="s">
        <v>358</v>
      </c>
      <c r="C400" t="s">
        <v>220</v>
      </c>
      <c r="D400" s="1">
        <v>2018</v>
      </c>
      <c r="E400" t="s">
        <v>26</v>
      </c>
      <c r="F400" t="s">
        <v>27</v>
      </c>
      <c r="G400" t="s">
        <v>35</v>
      </c>
      <c r="H400" t="s">
        <v>38</v>
      </c>
      <c r="I400" s="1" t="s">
        <v>30</v>
      </c>
      <c r="J400" s="1">
        <v>0.75</v>
      </c>
      <c r="K400" s="7">
        <v>2800.3</v>
      </c>
      <c r="L400">
        <v>18</v>
      </c>
      <c r="M400" s="7">
        <f>Tabell1[[#This Row],[Salgspris]]*Tabell1[[#This Row],[Totalt antall]]</f>
        <v>50405.4</v>
      </c>
      <c r="N400">
        <v>9</v>
      </c>
      <c r="O400">
        <v>2</v>
      </c>
      <c r="Q400">
        <v>2</v>
      </c>
      <c r="U400">
        <v>3</v>
      </c>
      <c r="V400">
        <v>2</v>
      </c>
      <c r="X400"/>
      <c r="Y400" s="3"/>
    </row>
    <row r="401" spans="1:25" ht="32.1" customHeight="1" x14ac:dyDescent="0.25">
      <c r="A401" s="1">
        <v>12721501</v>
      </c>
      <c r="B401" t="s">
        <v>358</v>
      </c>
      <c r="C401" t="s">
        <v>227</v>
      </c>
      <c r="D401" s="1">
        <v>2018</v>
      </c>
      <c r="E401" t="s">
        <v>26</v>
      </c>
      <c r="F401" t="s">
        <v>27</v>
      </c>
      <c r="G401" t="s">
        <v>35</v>
      </c>
      <c r="H401" t="s">
        <v>38</v>
      </c>
      <c r="I401" s="1" t="s">
        <v>30</v>
      </c>
      <c r="J401" s="1">
        <v>0.75</v>
      </c>
      <c r="K401" s="7">
        <v>3899.9</v>
      </c>
      <c r="L401">
        <v>24</v>
      </c>
      <c r="M401" s="7">
        <f>Tabell1[[#This Row],[Salgspris]]*Tabell1[[#This Row],[Totalt antall]]</f>
        <v>93597.6</v>
      </c>
      <c r="N401">
        <v>12</v>
      </c>
      <c r="O401">
        <v>3</v>
      </c>
      <c r="Q401">
        <v>3</v>
      </c>
      <c r="U401">
        <v>3</v>
      </c>
      <c r="V401">
        <v>3</v>
      </c>
      <c r="X401"/>
      <c r="Y401" s="3"/>
    </row>
    <row r="402" spans="1:25" ht="32.1" customHeight="1" x14ac:dyDescent="0.25">
      <c r="A402" s="1">
        <v>12722701</v>
      </c>
      <c r="B402" t="s">
        <v>358</v>
      </c>
      <c r="C402" t="s">
        <v>36</v>
      </c>
      <c r="D402" s="1">
        <v>2018</v>
      </c>
      <c r="E402" t="s">
        <v>26</v>
      </c>
      <c r="F402" t="s">
        <v>27</v>
      </c>
      <c r="G402" t="s">
        <v>37</v>
      </c>
      <c r="H402" t="s">
        <v>38</v>
      </c>
      <c r="I402" s="1" t="s">
        <v>30</v>
      </c>
      <c r="J402" s="1">
        <v>0.75</v>
      </c>
      <c r="K402" s="7">
        <v>2900.4</v>
      </c>
      <c r="L402">
        <v>30</v>
      </c>
      <c r="M402" s="7">
        <f>Tabell1[[#This Row],[Salgspris]]*Tabell1[[#This Row],[Totalt antall]]</f>
        <v>87012</v>
      </c>
      <c r="N402">
        <v>12</v>
      </c>
      <c r="O402">
        <v>3</v>
      </c>
      <c r="P402">
        <v>3</v>
      </c>
      <c r="Q402">
        <v>3</v>
      </c>
      <c r="T402">
        <v>3</v>
      </c>
      <c r="U402">
        <v>3</v>
      </c>
      <c r="V402">
        <v>3</v>
      </c>
      <c r="X402"/>
      <c r="Y402" s="3"/>
    </row>
    <row r="403" spans="1:25" ht="32.1" customHeight="1" x14ac:dyDescent="0.25">
      <c r="A403" s="1">
        <v>12722301</v>
      </c>
      <c r="B403" t="s">
        <v>358</v>
      </c>
      <c r="C403" t="s">
        <v>361</v>
      </c>
      <c r="D403" s="1">
        <v>2018</v>
      </c>
      <c r="E403" t="s">
        <v>26</v>
      </c>
      <c r="F403" t="s">
        <v>27</v>
      </c>
      <c r="G403" t="s">
        <v>37</v>
      </c>
      <c r="H403" t="s">
        <v>29</v>
      </c>
      <c r="I403" s="1" t="s">
        <v>30</v>
      </c>
      <c r="J403" s="1">
        <v>0.75</v>
      </c>
      <c r="K403" s="7">
        <v>1000.3</v>
      </c>
      <c r="L403">
        <v>24</v>
      </c>
      <c r="M403" s="7">
        <f>Tabell1[[#This Row],[Salgspris]]*Tabell1[[#This Row],[Totalt antall]]</f>
        <v>24007.199999999997</v>
      </c>
      <c r="N403">
        <v>12</v>
      </c>
      <c r="O403">
        <v>3</v>
      </c>
      <c r="Q403">
        <v>3</v>
      </c>
      <c r="U403">
        <v>3</v>
      </c>
      <c r="V403">
        <v>3</v>
      </c>
      <c r="X403"/>
      <c r="Y403" s="3"/>
    </row>
    <row r="404" spans="1:25" ht="32.1" customHeight="1" x14ac:dyDescent="0.25">
      <c r="A404" s="1">
        <v>12722501</v>
      </c>
      <c r="B404" t="s">
        <v>358</v>
      </c>
      <c r="C404" t="s">
        <v>286</v>
      </c>
      <c r="D404" s="1">
        <v>2018</v>
      </c>
      <c r="E404" t="s">
        <v>26</v>
      </c>
      <c r="F404" t="s">
        <v>27</v>
      </c>
      <c r="G404" t="s">
        <v>126</v>
      </c>
      <c r="H404" t="s">
        <v>29</v>
      </c>
      <c r="I404" s="1" t="s">
        <v>30</v>
      </c>
      <c r="J404" s="1">
        <v>0.75</v>
      </c>
      <c r="K404" s="7">
        <v>1200.3</v>
      </c>
      <c r="L404">
        <v>18</v>
      </c>
      <c r="M404" s="7">
        <f>Tabell1[[#This Row],[Salgspris]]*Tabell1[[#This Row],[Totalt antall]]</f>
        <v>21605.399999999998</v>
      </c>
      <c r="N404">
        <v>9</v>
      </c>
      <c r="O404">
        <v>2</v>
      </c>
      <c r="Q404">
        <v>2</v>
      </c>
      <c r="U404">
        <v>3</v>
      </c>
      <c r="V404">
        <v>2</v>
      </c>
      <c r="X404"/>
      <c r="Y404" s="3"/>
    </row>
    <row r="405" spans="1:25" ht="32.1" customHeight="1" x14ac:dyDescent="0.25">
      <c r="A405" s="1">
        <v>12722601</v>
      </c>
      <c r="B405" t="s">
        <v>358</v>
      </c>
      <c r="C405" t="s">
        <v>166</v>
      </c>
      <c r="D405" s="1">
        <v>2018</v>
      </c>
      <c r="E405" t="s">
        <v>26</v>
      </c>
      <c r="F405" t="s">
        <v>27</v>
      </c>
      <c r="G405" t="s">
        <v>126</v>
      </c>
      <c r="H405" t="s">
        <v>29</v>
      </c>
      <c r="I405" s="1" t="s">
        <v>30</v>
      </c>
      <c r="J405" s="1">
        <v>0.75</v>
      </c>
      <c r="K405" s="7">
        <v>1250.3</v>
      </c>
      <c r="L405">
        <v>30</v>
      </c>
      <c r="M405" s="7">
        <f>Tabell1[[#This Row],[Salgspris]]*Tabell1[[#This Row],[Totalt antall]]</f>
        <v>37509</v>
      </c>
      <c r="N405">
        <v>12</v>
      </c>
      <c r="O405">
        <v>3</v>
      </c>
      <c r="P405">
        <v>3</v>
      </c>
      <c r="Q405">
        <v>3</v>
      </c>
      <c r="T405">
        <v>3</v>
      </c>
      <c r="U405">
        <v>3</v>
      </c>
      <c r="V405">
        <v>3</v>
      </c>
      <c r="X405"/>
      <c r="Y405" s="3"/>
    </row>
    <row r="406" spans="1:25" ht="32.1" customHeight="1" x14ac:dyDescent="0.25">
      <c r="A406" s="1">
        <v>12722401</v>
      </c>
      <c r="B406" t="s">
        <v>358</v>
      </c>
      <c r="C406" t="s">
        <v>362</v>
      </c>
      <c r="D406" s="1">
        <v>2018</v>
      </c>
      <c r="E406" t="s">
        <v>26</v>
      </c>
      <c r="F406" t="s">
        <v>27</v>
      </c>
      <c r="G406" t="s">
        <v>42</v>
      </c>
      <c r="H406" t="s">
        <v>29</v>
      </c>
      <c r="I406" s="1" t="s">
        <v>30</v>
      </c>
      <c r="J406" s="1">
        <v>0.75</v>
      </c>
      <c r="K406" s="7">
        <v>1100.4000000000001</v>
      </c>
      <c r="L406">
        <v>24</v>
      </c>
      <c r="M406" s="7">
        <f>Tabell1[[#This Row],[Salgspris]]*Tabell1[[#This Row],[Totalt antall]]</f>
        <v>26409.600000000002</v>
      </c>
      <c r="N406">
        <v>12</v>
      </c>
      <c r="O406">
        <v>3</v>
      </c>
      <c r="Q406">
        <v>3</v>
      </c>
      <c r="R406">
        <v>3</v>
      </c>
      <c r="U406">
        <v>3</v>
      </c>
      <c r="X406"/>
      <c r="Y406" s="3"/>
    </row>
    <row r="407" spans="1:25" ht="32.1" customHeight="1" x14ac:dyDescent="0.25">
      <c r="A407" s="1">
        <v>12722101</v>
      </c>
      <c r="B407" t="s">
        <v>358</v>
      </c>
      <c r="C407" t="s">
        <v>25</v>
      </c>
      <c r="D407" s="1">
        <v>2018</v>
      </c>
      <c r="E407" t="s">
        <v>26</v>
      </c>
      <c r="F407" t="s">
        <v>27</v>
      </c>
      <c r="G407" t="s">
        <v>28</v>
      </c>
      <c r="H407" t="s">
        <v>29</v>
      </c>
      <c r="I407" s="1" t="s">
        <v>30</v>
      </c>
      <c r="J407" s="1">
        <v>0.75</v>
      </c>
      <c r="K407" s="7">
        <v>1200.3</v>
      </c>
      <c r="L407">
        <v>36</v>
      </c>
      <c r="M407" s="7">
        <f>Tabell1[[#This Row],[Salgspris]]*Tabell1[[#This Row],[Totalt antall]]</f>
        <v>43210.799999999996</v>
      </c>
      <c r="N407">
        <v>12</v>
      </c>
      <c r="O407">
        <v>3</v>
      </c>
      <c r="P407">
        <v>3</v>
      </c>
      <c r="Q407">
        <v>3</v>
      </c>
      <c r="R407">
        <v>3</v>
      </c>
      <c r="S407">
        <v>3</v>
      </c>
      <c r="T407">
        <v>3</v>
      </c>
      <c r="U407">
        <v>3</v>
      </c>
      <c r="V407">
        <v>3</v>
      </c>
      <c r="X407"/>
      <c r="Y407" s="3"/>
    </row>
    <row r="408" spans="1:25" ht="32.1" customHeight="1" x14ac:dyDescent="0.25">
      <c r="A408" s="1">
        <v>12723501</v>
      </c>
      <c r="B408" t="s">
        <v>358</v>
      </c>
      <c r="C408" t="s">
        <v>363</v>
      </c>
      <c r="D408" s="1">
        <v>2018</v>
      </c>
      <c r="E408" t="s">
        <v>26</v>
      </c>
      <c r="F408" t="s">
        <v>27</v>
      </c>
      <c r="G408" t="s">
        <v>74</v>
      </c>
      <c r="H408" t="s">
        <v>29</v>
      </c>
      <c r="I408" s="1" t="s">
        <v>30</v>
      </c>
      <c r="J408" s="1">
        <v>0.75</v>
      </c>
      <c r="K408" s="7">
        <v>2500.3000000000002</v>
      </c>
      <c r="L408">
        <v>24</v>
      </c>
      <c r="M408" s="7">
        <f>Tabell1[[#This Row],[Salgspris]]*Tabell1[[#This Row],[Totalt antall]]</f>
        <v>60007.200000000004</v>
      </c>
      <c r="N408">
        <v>12</v>
      </c>
      <c r="O408">
        <v>3</v>
      </c>
      <c r="Q408">
        <v>3</v>
      </c>
      <c r="U408">
        <v>3</v>
      </c>
      <c r="V408">
        <v>3</v>
      </c>
      <c r="X408"/>
      <c r="Y408" s="3"/>
    </row>
    <row r="409" spans="1:25" ht="32.1" customHeight="1" x14ac:dyDescent="0.25">
      <c r="A409" s="1">
        <v>12723301</v>
      </c>
      <c r="B409" t="s">
        <v>358</v>
      </c>
      <c r="C409" t="s">
        <v>73</v>
      </c>
      <c r="D409" s="1">
        <v>2018</v>
      </c>
      <c r="E409" t="s">
        <v>26</v>
      </c>
      <c r="F409" t="s">
        <v>27</v>
      </c>
      <c r="G409" t="s">
        <v>74</v>
      </c>
      <c r="H409" t="s">
        <v>29</v>
      </c>
      <c r="I409" s="1" t="s">
        <v>30</v>
      </c>
      <c r="J409" s="1">
        <v>0.75</v>
      </c>
      <c r="K409" s="7">
        <v>2000.4</v>
      </c>
      <c r="L409">
        <v>24</v>
      </c>
      <c r="M409" s="7">
        <f>Tabell1[[#This Row],[Salgspris]]*Tabell1[[#This Row],[Totalt antall]]</f>
        <v>48009.600000000006</v>
      </c>
      <c r="N409">
        <v>12</v>
      </c>
      <c r="O409">
        <v>3</v>
      </c>
      <c r="Q409">
        <v>3</v>
      </c>
      <c r="T409">
        <v>3</v>
      </c>
      <c r="U409">
        <v>3</v>
      </c>
      <c r="X409"/>
      <c r="Y409" s="3"/>
    </row>
    <row r="410" spans="1:25" ht="32.1" customHeight="1" x14ac:dyDescent="0.25">
      <c r="A410" s="1">
        <v>12723401</v>
      </c>
      <c r="B410" t="s">
        <v>358</v>
      </c>
      <c r="C410" t="s">
        <v>75</v>
      </c>
      <c r="D410" s="1">
        <v>2018</v>
      </c>
      <c r="E410" t="s">
        <v>26</v>
      </c>
      <c r="F410" t="s">
        <v>27</v>
      </c>
      <c r="G410" t="s">
        <v>74</v>
      </c>
      <c r="H410" t="s">
        <v>29</v>
      </c>
      <c r="I410" s="1" t="s">
        <v>30</v>
      </c>
      <c r="J410" s="1">
        <v>0.75</v>
      </c>
      <c r="K410" s="7">
        <v>1900.4</v>
      </c>
      <c r="L410">
        <v>35</v>
      </c>
      <c r="M410" s="7">
        <f>Tabell1[[#This Row],[Salgspris]]*Tabell1[[#This Row],[Totalt antall]]</f>
        <v>66514</v>
      </c>
      <c r="N410">
        <v>11</v>
      </c>
      <c r="O410">
        <v>3</v>
      </c>
      <c r="P410">
        <v>3</v>
      </c>
      <c r="Q410">
        <v>3</v>
      </c>
      <c r="R410">
        <v>3</v>
      </c>
      <c r="S410">
        <v>3</v>
      </c>
      <c r="T410">
        <v>3</v>
      </c>
      <c r="U410">
        <v>3</v>
      </c>
      <c r="X410">
        <v>3</v>
      </c>
      <c r="Y410" s="3"/>
    </row>
    <row r="411" spans="1:25" ht="32.1" customHeight="1" x14ac:dyDescent="0.25">
      <c r="A411" s="1">
        <v>12721101</v>
      </c>
      <c r="B411" t="s">
        <v>358</v>
      </c>
      <c r="C411" t="s">
        <v>52</v>
      </c>
      <c r="D411" s="1">
        <v>2018</v>
      </c>
      <c r="E411" t="s">
        <v>26</v>
      </c>
      <c r="F411" t="s">
        <v>27</v>
      </c>
      <c r="I411" s="1" t="s">
        <v>30</v>
      </c>
      <c r="J411" s="1">
        <v>0.75</v>
      </c>
      <c r="K411" s="7">
        <v>550.29999999999995</v>
      </c>
      <c r="L411">
        <v>300</v>
      </c>
      <c r="M411" s="7">
        <f>Tabell1[[#This Row],[Salgspris]]*Tabell1[[#This Row],[Totalt antall]]</f>
        <v>165090</v>
      </c>
      <c r="N411">
        <v>54</v>
      </c>
      <c r="O411">
        <v>30</v>
      </c>
      <c r="P411">
        <v>24</v>
      </c>
      <c r="Q411">
        <v>30</v>
      </c>
      <c r="R411">
        <v>12</v>
      </c>
      <c r="S411">
        <v>24</v>
      </c>
      <c r="T411">
        <v>24</v>
      </c>
      <c r="U411">
        <v>42</v>
      </c>
      <c r="V411">
        <v>36</v>
      </c>
      <c r="W411">
        <v>12</v>
      </c>
      <c r="X411">
        <v>12</v>
      </c>
      <c r="Y411" s="3"/>
    </row>
    <row r="412" spans="1:25" ht="32.1" customHeight="1" x14ac:dyDescent="0.25">
      <c r="A412" s="1">
        <v>12775201</v>
      </c>
      <c r="B412" t="s">
        <v>364</v>
      </c>
      <c r="C412" t="s">
        <v>365</v>
      </c>
      <c r="D412" s="1">
        <v>2018</v>
      </c>
      <c r="E412" t="s">
        <v>26</v>
      </c>
      <c r="F412" t="s">
        <v>27</v>
      </c>
      <c r="G412" t="s">
        <v>42</v>
      </c>
      <c r="H412" t="s">
        <v>29</v>
      </c>
      <c r="I412" s="1" t="s">
        <v>30</v>
      </c>
      <c r="J412" s="1">
        <v>0.75</v>
      </c>
      <c r="K412" s="7">
        <v>1797.4</v>
      </c>
      <c r="L412">
        <v>24</v>
      </c>
      <c r="M412" s="7">
        <f>Tabell1[[#This Row],[Salgspris]]*Tabell1[[#This Row],[Totalt antall]]</f>
        <v>43137.600000000006</v>
      </c>
      <c r="N412">
        <v>12</v>
      </c>
      <c r="O412">
        <v>3</v>
      </c>
      <c r="P412">
        <v>1</v>
      </c>
      <c r="Q412">
        <v>3</v>
      </c>
      <c r="R412">
        <v>1</v>
      </c>
      <c r="S412">
        <v>1</v>
      </c>
      <c r="T412">
        <v>1</v>
      </c>
      <c r="U412">
        <v>2</v>
      </c>
      <c r="X412"/>
      <c r="Y412" s="3"/>
    </row>
    <row r="413" spans="1:25" ht="32.1" customHeight="1" x14ac:dyDescent="0.25">
      <c r="A413" s="1">
        <v>12775701</v>
      </c>
      <c r="B413" t="s">
        <v>364</v>
      </c>
      <c r="C413" t="s">
        <v>216</v>
      </c>
      <c r="D413" s="1">
        <v>2018</v>
      </c>
      <c r="E413" t="s">
        <v>26</v>
      </c>
      <c r="F413" t="s">
        <v>27</v>
      </c>
      <c r="G413" t="s">
        <v>74</v>
      </c>
      <c r="H413" t="s">
        <v>29</v>
      </c>
      <c r="I413" s="1" t="s">
        <v>30</v>
      </c>
      <c r="J413" s="1">
        <v>0.75</v>
      </c>
      <c r="K413" s="7">
        <v>3217.3</v>
      </c>
      <c r="L413">
        <v>12</v>
      </c>
      <c r="M413" s="7">
        <f>Tabell1[[#This Row],[Salgspris]]*Tabell1[[#This Row],[Totalt antall]]</f>
        <v>38607.600000000006</v>
      </c>
      <c r="N413">
        <v>6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X413"/>
      <c r="Y413" s="3"/>
    </row>
    <row r="414" spans="1:25" ht="32.1" customHeight="1" x14ac:dyDescent="0.25">
      <c r="A414" s="1">
        <v>12775401</v>
      </c>
      <c r="B414" t="s">
        <v>364</v>
      </c>
      <c r="C414" t="s">
        <v>366</v>
      </c>
      <c r="D414" s="1">
        <v>2018</v>
      </c>
      <c r="E414" t="s">
        <v>26</v>
      </c>
      <c r="F414" t="s">
        <v>27</v>
      </c>
      <c r="G414" t="s">
        <v>74</v>
      </c>
      <c r="H414" t="s">
        <v>29</v>
      </c>
      <c r="I414" s="1" t="s">
        <v>30</v>
      </c>
      <c r="J414" s="1">
        <v>0.75</v>
      </c>
      <c r="K414" s="7">
        <v>4934.8999999999996</v>
      </c>
      <c r="L414">
        <v>6</v>
      </c>
      <c r="M414" s="7">
        <f>Tabell1[[#This Row],[Salgspris]]*Tabell1[[#This Row],[Totalt antall]]</f>
        <v>29609.399999999998</v>
      </c>
      <c r="N414">
        <v>3</v>
      </c>
      <c r="O414">
        <v>1</v>
      </c>
      <c r="Q414">
        <v>1</v>
      </c>
      <c r="U414">
        <v>1</v>
      </c>
      <c r="X414"/>
      <c r="Y414" s="3" t="s">
        <v>31</v>
      </c>
    </row>
    <row r="415" spans="1:25" ht="32.1" customHeight="1" x14ac:dyDescent="0.25">
      <c r="A415" s="1">
        <v>12749901</v>
      </c>
      <c r="B415" t="s">
        <v>367</v>
      </c>
      <c r="C415" t="s">
        <v>55</v>
      </c>
      <c r="D415" s="1">
        <v>2018</v>
      </c>
      <c r="E415" t="s">
        <v>26</v>
      </c>
      <c r="F415" t="s">
        <v>27</v>
      </c>
      <c r="G415" t="s">
        <v>55</v>
      </c>
      <c r="I415" s="1" t="s">
        <v>45</v>
      </c>
      <c r="J415" s="1">
        <v>0.75</v>
      </c>
      <c r="K415" s="7">
        <v>647.5</v>
      </c>
      <c r="L415">
        <v>120</v>
      </c>
      <c r="M415" s="7">
        <f>Tabell1[[#This Row],[Salgspris]]*Tabell1[[#This Row],[Totalt antall]]</f>
        <v>77700</v>
      </c>
      <c r="N415">
        <v>24</v>
      </c>
      <c r="O415">
        <v>12</v>
      </c>
      <c r="P415">
        <v>12</v>
      </c>
      <c r="Q415">
        <v>12</v>
      </c>
      <c r="R415">
        <v>6</v>
      </c>
      <c r="S415">
        <v>12</v>
      </c>
      <c r="T415">
        <v>12</v>
      </c>
      <c r="U415">
        <v>18</v>
      </c>
      <c r="V415">
        <v>6</v>
      </c>
      <c r="W415">
        <v>3</v>
      </c>
      <c r="X415">
        <v>3</v>
      </c>
      <c r="Y415" s="3" t="s">
        <v>160</v>
      </c>
    </row>
    <row r="416" spans="1:25" ht="32.1" customHeight="1" x14ac:dyDescent="0.25">
      <c r="A416" s="1">
        <v>12750001</v>
      </c>
      <c r="B416" t="s">
        <v>367</v>
      </c>
      <c r="C416" t="s">
        <v>236</v>
      </c>
      <c r="D416" s="1">
        <v>2018</v>
      </c>
      <c r="E416" t="s">
        <v>26</v>
      </c>
      <c r="F416" t="s">
        <v>27</v>
      </c>
      <c r="G416" t="s">
        <v>55</v>
      </c>
      <c r="H416" t="s">
        <v>29</v>
      </c>
      <c r="I416" s="1" t="s">
        <v>45</v>
      </c>
      <c r="J416" s="1">
        <v>0.75</v>
      </c>
      <c r="K416" s="7">
        <v>877</v>
      </c>
      <c r="L416">
        <v>36</v>
      </c>
      <c r="M416" s="7">
        <f>Tabell1[[#This Row],[Salgspris]]*Tabell1[[#This Row],[Totalt antall]]</f>
        <v>31572</v>
      </c>
      <c r="N416">
        <v>18</v>
      </c>
      <c r="O416">
        <v>3</v>
      </c>
      <c r="P416">
        <v>3</v>
      </c>
      <c r="Q416">
        <v>3</v>
      </c>
      <c r="S416">
        <v>3</v>
      </c>
      <c r="T416">
        <v>3</v>
      </c>
      <c r="V416">
        <v>3</v>
      </c>
      <c r="X416"/>
      <c r="Y416" s="3" t="s">
        <v>88</v>
      </c>
    </row>
    <row r="417" spans="1:25" ht="32.1" customHeight="1" x14ac:dyDescent="0.25">
      <c r="A417" s="1">
        <v>12749701</v>
      </c>
      <c r="B417" t="s">
        <v>367</v>
      </c>
      <c r="C417" t="s">
        <v>98</v>
      </c>
      <c r="D417" s="1">
        <v>2018</v>
      </c>
      <c r="E417" t="s">
        <v>26</v>
      </c>
      <c r="F417" t="s">
        <v>27</v>
      </c>
      <c r="G417" t="s">
        <v>99</v>
      </c>
      <c r="H417" t="s">
        <v>38</v>
      </c>
      <c r="I417" s="1" t="s">
        <v>45</v>
      </c>
      <c r="J417" s="1">
        <v>0.75</v>
      </c>
      <c r="K417" s="7">
        <v>5142.8999999999996</v>
      </c>
      <c r="L417">
        <v>3</v>
      </c>
      <c r="M417" s="7">
        <f>Tabell1[[#This Row],[Salgspris]]*Tabell1[[#This Row],[Totalt antall]]</f>
        <v>15428.699999999999</v>
      </c>
      <c r="N417">
        <v>2</v>
      </c>
      <c r="O417">
        <v>1</v>
      </c>
      <c r="X417"/>
      <c r="Y417" s="3" t="s">
        <v>31</v>
      </c>
    </row>
    <row r="418" spans="1:25" ht="32.1" customHeight="1" x14ac:dyDescent="0.25">
      <c r="A418" s="1">
        <v>12750101</v>
      </c>
      <c r="B418" t="s">
        <v>367</v>
      </c>
      <c r="C418" t="s">
        <v>90</v>
      </c>
      <c r="D418" s="1">
        <v>2018</v>
      </c>
      <c r="E418" t="s">
        <v>26</v>
      </c>
      <c r="F418" t="s">
        <v>27</v>
      </c>
      <c r="G418" t="s">
        <v>91</v>
      </c>
      <c r="H418" t="s">
        <v>38</v>
      </c>
      <c r="I418" s="1" t="s">
        <v>45</v>
      </c>
      <c r="J418" s="1">
        <v>0.75</v>
      </c>
      <c r="K418" s="7">
        <v>3504.9</v>
      </c>
      <c r="L418">
        <v>3</v>
      </c>
      <c r="M418" s="7">
        <f>Tabell1[[#This Row],[Salgspris]]*Tabell1[[#This Row],[Totalt antall]]</f>
        <v>10514.7</v>
      </c>
      <c r="N418">
        <v>2</v>
      </c>
      <c r="Q418">
        <v>1</v>
      </c>
      <c r="X418"/>
      <c r="Y418" s="3" t="s">
        <v>31</v>
      </c>
    </row>
    <row r="419" spans="1:25" ht="32.1" customHeight="1" x14ac:dyDescent="0.25">
      <c r="A419" s="1">
        <v>12549601</v>
      </c>
      <c r="B419" t="s">
        <v>368</v>
      </c>
      <c r="C419" t="s">
        <v>90</v>
      </c>
      <c r="D419" s="1">
        <v>2018</v>
      </c>
      <c r="E419" t="s">
        <v>26</v>
      </c>
      <c r="F419" t="s">
        <v>27</v>
      </c>
      <c r="G419" t="s">
        <v>91</v>
      </c>
      <c r="H419" t="s">
        <v>38</v>
      </c>
      <c r="I419" s="1" t="s">
        <v>45</v>
      </c>
      <c r="J419" s="1">
        <v>0.75</v>
      </c>
      <c r="K419" s="7">
        <v>3000.3</v>
      </c>
      <c r="L419">
        <v>12</v>
      </c>
      <c r="M419" s="7">
        <f>Tabell1[[#This Row],[Salgspris]]*Tabell1[[#This Row],[Totalt antall]]</f>
        <v>36003.600000000006</v>
      </c>
      <c r="N419">
        <v>6</v>
      </c>
      <c r="O419">
        <v>2</v>
      </c>
      <c r="Q419">
        <v>2</v>
      </c>
      <c r="R419">
        <v>2</v>
      </c>
      <c r="X419"/>
      <c r="Y419" s="3"/>
    </row>
    <row r="420" spans="1:25" ht="32.1" customHeight="1" x14ac:dyDescent="0.25">
      <c r="A420" s="1">
        <v>12549401</v>
      </c>
      <c r="B420" t="s">
        <v>368</v>
      </c>
      <c r="C420" t="s">
        <v>59</v>
      </c>
      <c r="D420" s="1">
        <v>2018</v>
      </c>
      <c r="E420" t="s">
        <v>26</v>
      </c>
      <c r="F420" t="s">
        <v>27</v>
      </c>
      <c r="G420" t="s">
        <v>57</v>
      </c>
      <c r="H420" t="s">
        <v>29</v>
      </c>
      <c r="I420" s="1" t="s">
        <v>45</v>
      </c>
      <c r="J420" s="1">
        <v>0.75</v>
      </c>
      <c r="K420" s="7">
        <v>1600.3</v>
      </c>
      <c r="L420">
        <v>27</v>
      </c>
      <c r="M420" s="7">
        <f>Tabell1[[#This Row],[Salgspris]]*Tabell1[[#This Row],[Totalt antall]]</f>
        <v>43208.1</v>
      </c>
      <c r="N420">
        <v>12</v>
      </c>
      <c r="O420">
        <v>3</v>
      </c>
      <c r="P420">
        <v>3</v>
      </c>
      <c r="Q420">
        <v>3</v>
      </c>
      <c r="R420">
        <v>3</v>
      </c>
      <c r="T420">
        <v>3</v>
      </c>
      <c r="X420"/>
      <c r="Y420" s="3"/>
    </row>
    <row r="421" spans="1:25" ht="32.1" customHeight="1" x14ac:dyDescent="0.25">
      <c r="A421" s="1">
        <v>12549501</v>
      </c>
      <c r="B421" t="s">
        <v>368</v>
      </c>
      <c r="C421" t="s">
        <v>131</v>
      </c>
      <c r="D421" s="1">
        <v>2018</v>
      </c>
      <c r="E421" t="s">
        <v>26</v>
      </c>
      <c r="F421" t="s">
        <v>27</v>
      </c>
      <c r="G421" t="s">
        <v>57</v>
      </c>
      <c r="I421" s="1" t="s">
        <v>45</v>
      </c>
      <c r="J421" s="1">
        <v>0.75</v>
      </c>
      <c r="K421" s="7">
        <v>900.3</v>
      </c>
      <c r="L421">
        <v>60</v>
      </c>
      <c r="M421" s="7">
        <f>Tabell1[[#This Row],[Salgspris]]*Tabell1[[#This Row],[Totalt antall]]</f>
        <v>54018</v>
      </c>
      <c r="N421">
        <v>24</v>
      </c>
      <c r="O421">
        <v>6</v>
      </c>
      <c r="P421">
        <v>6</v>
      </c>
      <c r="Q421">
        <v>6</v>
      </c>
      <c r="R421">
        <v>6</v>
      </c>
      <c r="S421">
        <v>6</v>
      </c>
      <c r="T421">
        <v>6</v>
      </c>
      <c r="X421"/>
      <c r="Y421" s="3"/>
    </row>
    <row r="422" spans="1:25" ht="32.1" customHeight="1" x14ac:dyDescent="0.25">
      <c r="A422" s="1">
        <v>12752301</v>
      </c>
      <c r="B422" t="s">
        <v>369</v>
      </c>
      <c r="C422" t="s">
        <v>62</v>
      </c>
      <c r="D422" s="1">
        <v>2017</v>
      </c>
      <c r="E422" t="s">
        <v>26</v>
      </c>
      <c r="F422" t="s">
        <v>27</v>
      </c>
      <c r="G422" t="s">
        <v>63</v>
      </c>
      <c r="H422" t="s">
        <v>38</v>
      </c>
      <c r="I422" s="1" t="s">
        <v>30</v>
      </c>
      <c r="J422" s="1">
        <v>0.75</v>
      </c>
      <c r="K422" s="7">
        <v>3977.5</v>
      </c>
      <c r="L422">
        <v>6</v>
      </c>
      <c r="M422" s="7">
        <f>Tabell1[[#This Row],[Salgspris]]*Tabell1[[#This Row],[Totalt antall]]</f>
        <v>23865</v>
      </c>
      <c r="N422">
        <v>3</v>
      </c>
      <c r="O422">
        <v>1</v>
      </c>
      <c r="Q422">
        <v>1</v>
      </c>
      <c r="V422">
        <v>1</v>
      </c>
      <c r="X422"/>
      <c r="Y422" s="3"/>
    </row>
    <row r="423" spans="1:25" ht="32.1" customHeight="1" x14ac:dyDescent="0.25">
      <c r="A423" s="1">
        <v>12751901</v>
      </c>
      <c r="B423" t="s">
        <v>369</v>
      </c>
      <c r="C423" t="s">
        <v>326</v>
      </c>
      <c r="D423" s="1">
        <v>2017</v>
      </c>
      <c r="E423" t="s">
        <v>26</v>
      </c>
      <c r="F423" t="s">
        <v>27</v>
      </c>
      <c r="G423" t="s">
        <v>126</v>
      </c>
      <c r="I423" s="1" t="s">
        <v>30</v>
      </c>
      <c r="J423" s="1">
        <v>0.75</v>
      </c>
      <c r="K423" s="7">
        <v>679.7</v>
      </c>
      <c r="L423">
        <v>24</v>
      </c>
      <c r="M423" s="7">
        <f>Tabell1[[#This Row],[Salgspris]]*Tabell1[[#This Row],[Totalt antall]]</f>
        <v>16312.800000000001</v>
      </c>
      <c r="N423">
        <v>12</v>
      </c>
      <c r="P423">
        <v>3</v>
      </c>
      <c r="R423">
        <v>3</v>
      </c>
      <c r="S423">
        <v>3</v>
      </c>
      <c r="T423">
        <v>3</v>
      </c>
      <c r="X423"/>
      <c r="Y423" s="3"/>
    </row>
    <row r="424" spans="1:25" ht="32.1" customHeight="1" x14ac:dyDescent="0.25">
      <c r="A424" s="1">
        <v>12752201</v>
      </c>
      <c r="B424" t="s">
        <v>369</v>
      </c>
      <c r="C424" t="s">
        <v>370</v>
      </c>
      <c r="D424" s="1">
        <v>2017</v>
      </c>
      <c r="E424" t="s">
        <v>26</v>
      </c>
      <c r="F424" t="s">
        <v>27</v>
      </c>
      <c r="G424" t="s">
        <v>126</v>
      </c>
      <c r="H424" t="s">
        <v>29</v>
      </c>
      <c r="I424" s="1" t="s">
        <v>30</v>
      </c>
      <c r="J424" s="1">
        <v>0.75</v>
      </c>
      <c r="K424" s="7">
        <v>1399.8</v>
      </c>
      <c r="L424">
        <v>12</v>
      </c>
      <c r="M424" s="7">
        <f>Tabell1[[#This Row],[Salgspris]]*Tabell1[[#This Row],[Totalt antall]]</f>
        <v>16797.599999999999</v>
      </c>
      <c r="N424">
        <v>6</v>
      </c>
      <c r="O424">
        <v>2</v>
      </c>
      <c r="Q424">
        <v>2</v>
      </c>
      <c r="V424">
        <v>2</v>
      </c>
      <c r="X424"/>
      <c r="Y424" s="3"/>
    </row>
    <row r="425" spans="1:25" ht="32.1" customHeight="1" x14ac:dyDescent="0.25">
      <c r="A425" s="1">
        <v>12752001</v>
      </c>
      <c r="B425" t="s">
        <v>369</v>
      </c>
      <c r="C425" t="s">
        <v>74</v>
      </c>
      <c r="D425" s="1">
        <v>2017</v>
      </c>
      <c r="E425" t="s">
        <v>26</v>
      </c>
      <c r="F425" t="s">
        <v>27</v>
      </c>
      <c r="G425" t="s">
        <v>74</v>
      </c>
      <c r="I425" s="1" t="s">
        <v>30</v>
      </c>
      <c r="J425" s="1">
        <v>0.75</v>
      </c>
      <c r="K425" s="7">
        <v>815.7</v>
      </c>
      <c r="L425">
        <v>24</v>
      </c>
      <c r="M425" s="7">
        <f>Tabell1[[#This Row],[Salgspris]]*Tabell1[[#This Row],[Totalt antall]]</f>
        <v>19576.800000000003</v>
      </c>
      <c r="N425">
        <v>12</v>
      </c>
      <c r="O425">
        <v>3</v>
      </c>
      <c r="Q425">
        <v>3</v>
      </c>
      <c r="U425">
        <v>3</v>
      </c>
      <c r="V425">
        <v>3</v>
      </c>
      <c r="X425"/>
      <c r="Y425" s="3"/>
    </row>
    <row r="426" spans="1:25" ht="32.1" customHeight="1" x14ac:dyDescent="0.25">
      <c r="A426" s="1">
        <v>12752401</v>
      </c>
      <c r="B426" t="s">
        <v>369</v>
      </c>
      <c r="C426" t="s">
        <v>314</v>
      </c>
      <c r="D426" s="1">
        <v>2017</v>
      </c>
      <c r="E426" t="s">
        <v>26</v>
      </c>
      <c r="F426" t="s">
        <v>27</v>
      </c>
      <c r="G426" t="s">
        <v>74</v>
      </c>
      <c r="H426" t="s">
        <v>29</v>
      </c>
      <c r="I426" s="1" t="s">
        <v>30</v>
      </c>
      <c r="J426" s="1">
        <v>0.75</v>
      </c>
      <c r="K426" s="7">
        <v>1399.8</v>
      </c>
      <c r="L426">
        <v>12</v>
      </c>
      <c r="M426" s="7">
        <f>Tabell1[[#This Row],[Salgspris]]*Tabell1[[#This Row],[Totalt antall]]</f>
        <v>16797.599999999999</v>
      </c>
      <c r="N426">
        <v>6</v>
      </c>
      <c r="O426">
        <v>2</v>
      </c>
      <c r="Q426">
        <v>2</v>
      </c>
      <c r="R426">
        <v>2</v>
      </c>
      <c r="X426"/>
      <c r="Y426" s="3"/>
    </row>
    <row r="427" spans="1:25" ht="32.1" customHeight="1" x14ac:dyDescent="0.25">
      <c r="A427" s="1">
        <v>12752501</v>
      </c>
      <c r="B427" t="s">
        <v>369</v>
      </c>
      <c r="C427" t="s">
        <v>73</v>
      </c>
      <c r="D427" s="1">
        <v>2017</v>
      </c>
      <c r="E427" t="s">
        <v>26</v>
      </c>
      <c r="F427" t="s">
        <v>27</v>
      </c>
      <c r="G427" t="s">
        <v>74</v>
      </c>
      <c r="H427" t="s">
        <v>29</v>
      </c>
      <c r="I427" s="1" t="s">
        <v>30</v>
      </c>
      <c r="J427" s="1">
        <v>0.75</v>
      </c>
      <c r="K427" s="7">
        <v>1496.7</v>
      </c>
      <c r="L427">
        <v>12</v>
      </c>
      <c r="M427" s="7">
        <f>Tabell1[[#This Row],[Salgspris]]*Tabell1[[#This Row],[Totalt antall]]</f>
        <v>17960.400000000001</v>
      </c>
      <c r="N427">
        <v>6</v>
      </c>
      <c r="O427">
        <v>2</v>
      </c>
      <c r="Q427">
        <v>2</v>
      </c>
      <c r="V427">
        <v>2</v>
      </c>
      <c r="X427"/>
      <c r="Y427" s="3"/>
    </row>
    <row r="428" spans="1:25" ht="32.1" customHeight="1" x14ac:dyDescent="0.25">
      <c r="A428" s="1">
        <v>12752601</v>
      </c>
      <c r="B428" t="s">
        <v>371</v>
      </c>
      <c r="C428" t="s">
        <v>372</v>
      </c>
      <c r="D428" s="1">
        <v>2017</v>
      </c>
      <c r="E428" t="s">
        <v>26</v>
      </c>
      <c r="F428" t="s">
        <v>27</v>
      </c>
      <c r="G428" t="s">
        <v>67</v>
      </c>
      <c r="H428" t="s">
        <v>29</v>
      </c>
      <c r="I428" s="1" t="s">
        <v>30</v>
      </c>
      <c r="J428" s="1">
        <v>0.75</v>
      </c>
      <c r="K428" s="7">
        <v>1496.7</v>
      </c>
      <c r="L428">
        <v>24</v>
      </c>
      <c r="M428" s="7">
        <f>Tabell1[[#This Row],[Salgspris]]*Tabell1[[#This Row],[Totalt antall]]</f>
        <v>35920.800000000003</v>
      </c>
      <c r="N428">
        <v>12</v>
      </c>
      <c r="O428">
        <v>3</v>
      </c>
      <c r="Q428">
        <v>3</v>
      </c>
      <c r="R428">
        <v>2</v>
      </c>
      <c r="U428">
        <v>2</v>
      </c>
      <c r="V428">
        <v>2</v>
      </c>
      <c r="X428"/>
      <c r="Y428" s="3"/>
    </row>
    <row r="429" spans="1:25" ht="32.1" customHeight="1" x14ac:dyDescent="0.25">
      <c r="A429" s="1">
        <v>12752101</v>
      </c>
      <c r="B429" t="s">
        <v>371</v>
      </c>
      <c r="C429" t="s">
        <v>373</v>
      </c>
      <c r="D429" s="1">
        <v>2017</v>
      </c>
      <c r="E429" t="s">
        <v>26</v>
      </c>
      <c r="F429" t="s">
        <v>27</v>
      </c>
      <c r="G429" t="s">
        <v>35</v>
      </c>
      <c r="I429" s="1" t="s">
        <v>30</v>
      </c>
      <c r="J429" s="1">
        <v>0.75</v>
      </c>
      <c r="K429" s="7">
        <v>718.9</v>
      </c>
      <c r="L429">
        <v>24</v>
      </c>
      <c r="M429" s="7">
        <f>Tabell1[[#This Row],[Salgspris]]*Tabell1[[#This Row],[Totalt antall]]</f>
        <v>17253.599999999999</v>
      </c>
      <c r="N429">
        <v>12</v>
      </c>
      <c r="P429">
        <v>3</v>
      </c>
      <c r="R429">
        <v>3</v>
      </c>
      <c r="S429">
        <v>3</v>
      </c>
      <c r="T429">
        <v>3</v>
      </c>
      <c r="X429"/>
      <c r="Y429" s="3"/>
    </row>
    <row r="430" spans="1:25" ht="32.1" customHeight="1" x14ac:dyDescent="0.25">
      <c r="A430" s="1">
        <v>12751801</v>
      </c>
      <c r="B430" t="s">
        <v>371</v>
      </c>
      <c r="C430" t="s">
        <v>260</v>
      </c>
      <c r="D430" s="1">
        <v>2018</v>
      </c>
      <c r="E430" t="s">
        <v>26</v>
      </c>
      <c r="F430" t="s">
        <v>27</v>
      </c>
      <c r="G430" t="s">
        <v>42</v>
      </c>
      <c r="I430" s="1" t="s">
        <v>30</v>
      </c>
      <c r="J430" s="1">
        <v>0.75</v>
      </c>
      <c r="K430" s="7">
        <v>1011.4</v>
      </c>
      <c r="L430">
        <v>24</v>
      </c>
      <c r="M430" s="7">
        <f>Tabell1[[#This Row],[Salgspris]]*Tabell1[[#This Row],[Totalt antall]]</f>
        <v>24273.599999999999</v>
      </c>
      <c r="N430">
        <v>12</v>
      </c>
      <c r="O430">
        <v>3</v>
      </c>
      <c r="Q430">
        <v>3</v>
      </c>
      <c r="U430">
        <v>3</v>
      </c>
      <c r="V430">
        <v>3</v>
      </c>
      <c r="X430"/>
      <c r="Y430" s="3"/>
    </row>
    <row r="431" spans="1:25" ht="32.1" customHeight="1" x14ac:dyDescent="0.25">
      <c r="A431" s="1">
        <v>12739901</v>
      </c>
      <c r="B431" t="s">
        <v>374</v>
      </c>
      <c r="C431" t="s">
        <v>375</v>
      </c>
      <c r="D431" s="1">
        <v>2018</v>
      </c>
      <c r="E431" t="s">
        <v>26</v>
      </c>
      <c r="F431" t="s">
        <v>27</v>
      </c>
      <c r="G431" t="s">
        <v>376</v>
      </c>
      <c r="I431" s="1" t="s">
        <v>30</v>
      </c>
      <c r="J431" s="1">
        <v>0.75</v>
      </c>
      <c r="K431" s="7">
        <v>516.70000000000005</v>
      </c>
      <c r="L431">
        <v>360</v>
      </c>
      <c r="M431" s="7">
        <f>Tabell1[[#This Row],[Salgspris]]*Tabell1[[#This Row],[Totalt antall]]</f>
        <v>186012.00000000003</v>
      </c>
      <c r="N431">
        <v>66</v>
      </c>
      <c r="O431">
        <v>24</v>
      </c>
      <c r="P431">
        <v>24</v>
      </c>
      <c r="Q431">
        <v>24</v>
      </c>
      <c r="R431">
        <v>24</v>
      </c>
      <c r="S431">
        <v>24</v>
      </c>
      <c r="T431">
        <v>24</v>
      </c>
      <c r="U431">
        <v>54</v>
      </c>
      <c r="V431">
        <v>48</v>
      </c>
      <c r="W431">
        <v>24</v>
      </c>
      <c r="X431">
        <v>24</v>
      </c>
      <c r="Y431" s="3"/>
    </row>
    <row r="432" spans="1:25" ht="32.1" customHeight="1" x14ac:dyDescent="0.25">
      <c r="A432" s="1">
        <v>12740401</v>
      </c>
      <c r="B432" t="s">
        <v>374</v>
      </c>
      <c r="C432" t="s">
        <v>191</v>
      </c>
      <c r="D432" s="1">
        <v>2018</v>
      </c>
      <c r="E432" t="s">
        <v>26</v>
      </c>
      <c r="F432" t="s">
        <v>27</v>
      </c>
      <c r="G432" t="s">
        <v>120</v>
      </c>
      <c r="H432" t="s">
        <v>38</v>
      </c>
      <c r="I432" s="1" t="s">
        <v>30</v>
      </c>
      <c r="J432" s="1">
        <v>0.75</v>
      </c>
      <c r="K432" s="7">
        <v>875.7</v>
      </c>
      <c r="L432">
        <v>120</v>
      </c>
      <c r="M432" s="7">
        <f>Tabell1[[#This Row],[Salgspris]]*Tabell1[[#This Row],[Totalt antall]]</f>
        <v>105084</v>
      </c>
      <c r="N432">
        <v>36</v>
      </c>
      <c r="O432">
        <v>12</v>
      </c>
      <c r="P432">
        <v>12</v>
      </c>
      <c r="Q432">
        <v>12</v>
      </c>
      <c r="R432">
        <v>12</v>
      </c>
      <c r="S432">
        <v>12</v>
      </c>
      <c r="T432">
        <v>12</v>
      </c>
      <c r="U432">
        <v>12</v>
      </c>
      <c r="X432"/>
      <c r="Y432" s="3"/>
    </row>
    <row r="433" spans="1:25" ht="32.1" customHeight="1" x14ac:dyDescent="0.25">
      <c r="A433" s="1">
        <v>12740201</v>
      </c>
      <c r="B433" t="s">
        <v>377</v>
      </c>
      <c r="C433" t="s">
        <v>378</v>
      </c>
      <c r="D433" s="1">
        <v>2018</v>
      </c>
      <c r="E433" t="s">
        <v>26</v>
      </c>
      <c r="F433" t="s">
        <v>27</v>
      </c>
      <c r="G433" t="s">
        <v>379</v>
      </c>
      <c r="I433" s="1" t="s">
        <v>45</v>
      </c>
      <c r="J433" s="1">
        <v>0.75</v>
      </c>
      <c r="K433" s="7">
        <v>249.2</v>
      </c>
      <c r="L433">
        <v>600</v>
      </c>
      <c r="M433" s="7">
        <f>Tabell1[[#This Row],[Salgspris]]*Tabell1[[#This Row],[Totalt antall]]</f>
        <v>149520</v>
      </c>
      <c r="N433">
        <v>84</v>
      </c>
      <c r="O433">
        <v>48</v>
      </c>
      <c r="P433">
        <v>48</v>
      </c>
      <c r="Q433">
        <v>48</v>
      </c>
      <c r="R433">
        <v>48</v>
      </c>
      <c r="S433">
        <v>48</v>
      </c>
      <c r="T433">
        <v>48</v>
      </c>
      <c r="U433">
        <v>108</v>
      </c>
      <c r="V433">
        <v>72</v>
      </c>
      <c r="W433">
        <v>24</v>
      </c>
      <c r="X433">
        <v>24</v>
      </c>
      <c r="Y433" s="3"/>
    </row>
    <row r="434" spans="1:25" ht="32.1" customHeight="1" x14ac:dyDescent="0.25">
      <c r="A434" s="1">
        <v>12739601</v>
      </c>
      <c r="B434" t="s">
        <v>380</v>
      </c>
      <c r="C434" t="s">
        <v>381</v>
      </c>
      <c r="D434" s="1">
        <v>2018</v>
      </c>
      <c r="E434" t="s">
        <v>26</v>
      </c>
      <c r="F434" t="s">
        <v>27</v>
      </c>
      <c r="G434" t="s">
        <v>47</v>
      </c>
      <c r="I434" s="1" t="s">
        <v>30</v>
      </c>
      <c r="J434" s="1">
        <v>0.75</v>
      </c>
      <c r="K434" s="7">
        <v>363.3</v>
      </c>
      <c r="L434">
        <v>480</v>
      </c>
      <c r="M434" s="7">
        <f>Tabell1[[#This Row],[Salgspris]]*Tabell1[[#This Row],[Totalt antall]]</f>
        <v>174384</v>
      </c>
      <c r="N434">
        <v>84</v>
      </c>
      <c r="O434">
        <v>36</v>
      </c>
      <c r="P434">
        <v>24</v>
      </c>
      <c r="Q434">
        <v>36</v>
      </c>
      <c r="R434">
        <v>24</v>
      </c>
      <c r="S434">
        <v>24</v>
      </c>
      <c r="T434">
        <v>24</v>
      </c>
      <c r="U434">
        <v>120</v>
      </c>
      <c r="V434">
        <v>60</v>
      </c>
      <c r="W434">
        <v>24</v>
      </c>
      <c r="X434">
        <v>24</v>
      </c>
      <c r="Y434" s="3"/>
    </row>
    <row r="435" spans="1:25" ht="32.1" customHeight="1" x14ac:dyDescent="0.25">
      <c r="A435" s="1">
        <v>12739801</v>
      </c>
      <c r="B435" t="s">
        <v>380</v>
      </c>
      <c r="C435" t="s">
        <v>373</v>
      </c>
      <c r="D435" s="1">
        <v>2018</v>
      </c>
      <c r="E435" t="s">
        <v>26</v>
      </c>
      <c r="F435" t="s">
        <v>27</v>
      </c>
      <c r="G435" t="s">
        <v>35</v>
      </c>
      <c r="I435" s="1" t="s">
        <v>30</v>
      </c>
      <c r="J435" s="1">
        <v>0.75</v>
      </c>
      <c r="K435" s="7">
        <v>577.6</v>
      </c>
      <c r="L435">
        <v>180</v>
      </c>
      <c r="M435" s="7">
        <f>Tabell1[[#This Row],[Salgspris]]*Tabell1[[#This Row],[Totalt antall]]</f>
        <v>103968</v>
      </c>
      <c r="N435">
        <v>36</v>
      </c>
      <c r="O435">
        <v>18</v>
      </c>
      <c r="P435">
        <v>12</v>
      </c>
      <c r="Q435">
        <v>18</v>
      </c>
      <c r="R435">
        <v>12</v>
      </c>
      <c r="S435">
        <v>12</v>
      </c>
      <c r="T435">
        <v>12</v>
      </c>
      <c r="U435">
        <v>24</v>
      </c>
      <c r="V435">
        <v>24</v>
      </c>
      <c r="W435">
        <v>6</v>
      </c>
      <c r="X435">
        <v>6</v>
      </c>
      <c r="Y435" s="3"/>
    </row>
    <row r="436" spans="1:25" ht="32.1" customHeight="1" x14ac:dyDescent="0.25">
      <c r="A436" s="1">
        <v>12739701</v>
      </c>
      <c r="B436" t="s">
        <v>380</v>
      </c>
      <c r="C436" t="s">
        <v>219</v>
      </c>
      <c r="D436" s="1">
        <v>2018</v>
      </c>
      <c r="E436" t="s">
        <v>26</v>
      </c>
      <c r="F436" t="s">
        <v>27</v>
      </c>
      <c r="G436" t="s">
        <v>35</v>
      </c>
      <c r="I436" s="1" t="s">
        <v>30</v>
      </c>
      <c r="J436" s="1">
        <v>0.75</v>
      </c>
      <c r="K436" s="7">
        <v>577.6</v>
      </c>
      <c r="L436">
        <v>180</v>
      </c>
      <c r="M436" s="7">
        <f>Tabell1[[#This Row],[Salgspris]]*Tabell1[[#This Row],[Totalt antall]]</f>
        <v>103968</v>
      </c>
      <c r="N436">
        <v>36</v>
      </c>
      <c r="O436">
        <v>18</v>
      </c>
      <c r="P436">
        <v>12</v>
      </c>
      <c r="Q436">
        <v>18</v>
      </c>
      <c r="R436">
        <v>12</v>
      </c>
      <c r="S436">
        <v>12</v>
      </c>
      <c r="T436">
        <v>12</v>
      </c>
      <c r="U436">
        <v>24</v>
      </c>
      <c r="V436">
        <v>24</v>
      </c>
      <c r="W436">
        <v>6</v>
      </c>
      <c r="X436">
        <v>6</v>
      </c>
      <c r="Y436" s="3"/>
    </row>
    <row r="437" spans="1:25" ht="32.1" customHeight="1" x14ac:dyDescent="0.25">
      <c r="A437" s="1">
        <v>12759601</v>
      </c>
      <c r="B437" t="s">
        <v>382</v>
      </c>
      <c r="C437" t="s">
        <v>119</v>
      </c>
      <c r="D437" s="1">
        <v>2018</v>
      </c>
      <c r="E437" t="s">
        <v>26</v>
      </c>
      <c r="F437" t="s">
        <v>27</v>
      </c>
      <c r="G437" t="s">
        <v>120</v>
      </c>
      <c r="H437" t="s">
        <v>38</v>
      </c>
      <c r="I437" s="1" t="s">
        <v>45</v>
      </c>
      <c r="J437" s="1">
        <v>0.75</v>
      </c>
      <c r="K437" s="7">
        <v>3176.6</v>
      </c>
      <c r="L437">
        <v>6</v>
      </c>
      <c r="M437" s="7">
        <f>Tabell1[[#This Row],[Salgspris]]*Tabell1[[#This Row],[Totalt antall]]</f>
        <v>19059.599999999999</v>
      </c>
      <c r="N437">
        <v>3</v>
      </c>
      <c r="O437">
        <v>1</v>
      </c>
      <c r="Q437">
        <v>1</v>
      </c>
      <c r="U437">
        <v>1</v>
      </c>
      <c r="X437"/>
      <c r="Y437" s="3"/>
    </row>
    <row r="438" spans="1:25" ht="32.1" customHeight="1" x14ac:dyDescent="0.25">
      <c r="A438" s="1">
        <v>12760401</v>
      </c>
      <c r="B438" t="s">
        <v>382</v>
      </c>
      <c r="C438" t="s">
        <v>383</v>
      </c>
      <c r="D438" s="1">
        <v>2018</v>
      </c>
      <c r="E438" t="s">
        <v>26</v>
      </c>
      <c r="F438" t="s">
        <v>27</v>
      </c>
      <c r="G438" t="s">
        <v>254</v>
      </c>
      <c r="I438" s="1" t="s">
        <v>45</v>
      </c>
      <c r="J438" s="1">
        <v>0.75</v>
      </c>
      <c r="K438" s="7">
        <v>679.9</v>
      </c>
      <c r="L438">
        <v>24</v>
      </c>
      <c r="M438" s="7">
        <f>Tabell1[[#This Row],[Salgspris]]*Tabell1[[#This Row],[Totalt antall]]</f>
        <v>16317.599999999999</v>
      </c>
      <c r="N438">
        <v>12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X438"/>
      <c r="Y438" s="3"/>
    </row>
    <row r="439" spans="1:25" ht="32.1" customHeight="1" x14ac:dyDescent="0.25">
      <c r="A439" s="1">
        <v>12759901</v>
      </c>
      <c r="B439" t="s">
        <v>382</v>
      </c>
      <c r="C439" t="s">
        <v>384</v>
      </c>
      <c r="D439" s="1">
        <v>2018</v>
      </c>
      <c r="E439" t="s">
        <v>26</v>
      </c>
      <c r="F439" t="s">
        <v>27</v>
      </c>
      <c r="G439" t="s">
        <v>120</v>
      </c>
      <c r="H439" t="s">
        <v>38</v>
      </c>
      <c r="I439" s="1" t="s">
        <v>30</v>
      </c>
      <c r="J439" s="1">
        <v>0.75</v>
      </c>
      <c r="K439" s="7">
        <v>2621.7</v>
      </c>
      <c r="L439">
        <v>12</v>
      </c>
      <c r="M439" s="7">
        <f>Tabell1[[#This Row],[Salgspris]]*Tabell1[[#This Row],[Totalt antall]]</f>
        <v>31460.399999999998</v>
      </c>
      <c r="N439">
        <v>6</v>
      </c>
      <c r="O439">
        <v>2</v>
      </c>
      <c r="Q439">
        <v>2</v>
      </c>
      <c r="V439">
        <v>2</v>
      </c>
      <c r="X439"/>
      <c r="Y439" s="3"/>
    </row>
    <row r="440" spans="1:25" ht="32.1" customHeight="1" x14ac:dyDescent="0.25">
      <c r="A440" s="1">
        <v>12758901</v>
      </c>
      <c r="B440" t="s">
        <v>382</v>
      </c>
      <c r="C440" t="s">
        <v>283</v>
      </c>
      <c r="D440" s="1">
        <v>2018</v>
      </c>
      <c r="E440" t="s">
        <v>26</v>
      </c>
      <c r="F440" t="s">
        <v>27</v>
      </c>
      <c r="G440" t="s">
        <v>35</v>
      </c>
      <c r="H440" t="s">
        <v>38</v>
      </c>
      <c r="I440" s="1" t="s">
        <v>30</v>
      </c>
      <c r="J440" s="1">
        <v>0.75</v>
      </c>
      <c r="K440" s="7">
        <v>4037.5</v>
      </c>
      <c r="L440">
        <v>12</v>
      </c>
      <c r="M440" s="7">
        <f>Tabell1[[#This Row],[Salgspris]]*Tabell1[[#This Row],[Totalt antall]]</f>
        <v>48450</v>
      </c>
      <c r="N440">
        <v>6</v>
      </c>
      <c r="O440">
        <v>2</v>
      </c>
      <c r="Q440">
        <v>2</v>
      </c>
      <c r="V440">
        <v>2</v>
      </c>
      <c r="X440"/>
      <c r="Y440" s="3"/>
    </row>
    <row r="441" spans="1:25" ht="32.1" customHeight="1" x14ac:dyDescent="0.25">
      <c r="A441" s="1">
        <v>12759801</v>
      </c>
      <c r="B441" t="s">
        <v>382</v>
      </c>
      <c r="C441" t="s">
        <v>385</v>
      </c>
      <c r="D441" s="1">
        <v>2018</v>
      </c>
      <c r="E441" t="s">
        <v>26</v>
      </c>
      <c r="F441" t="s">
        <v>27</v>
      </c>
      <c r="G441" t="s">
        <v>37</v>
      </c>
      <c r="H441" t="s">
        <v>38</v>
      </c>
      <c r="I441" s="1" t="s">
        <v>30</v>
      </c>
      <c r="J441" s="1">
        <v>0.75</v>
      </c>
      <c r="K441" s="7">
        <v>5312.5</v>
      </c>
      <c r="L441">
        <v>30</v>
      </c>
      <c r="M441" s="7">
        <f>Tabell1[[#This Row],[Salgspris]]*Tabell1[[#This Row],[Totalt antall]]</f>
        <v>159375</v>
      </c>
      <c r="N441">
        <v>14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X441"/>
      <c r="Y441" s="3"/>
    </row>
    <row r="442" spans="1:25" ht="32.1" customHeight="1" x14ac:dyDescent="0.25">
      <c r="A442" s="1">
        <v>12760101</v>
      </c>
      <c r="B442" t="s">
        <v>382</v>
      </c>
      <c r="C442" t="s">
        <v>386</v>
      </c>
      <c r="D442" s="1">
        <v>2018</v>
      </c>
      <c r="E442" t="s">
        <v>26</v>
      </c>
      <c r="F442" t="s">
        <v>27</v>
      </c>
      <c r="G442" t="s">
        <v>37</v>
      </c>
      <c r="H442" t="s">
        <v>29</v>
      </c>
      <c r="I442" s="1" t="s">
        <v>30</v>
      </c>
      <c r="J442" s="1">
        <v>0.75</v>
      </c>
      <c r="K442" s="7">
        <v>1479.4</v>
      </c>
      <c r="L442">
        <v>12</v>
      </c>
      <c r="M442" s="7">
        <f>Tabell1[[#This Row],[Salgspris]]*Tabell1[[#This Row],[Totalt antall]]</f>
        <v>17752.800000000003</v>
      </c>
      <c r="N442">
        <v>6</v>
      </c>
      <c r="O442">
        <v>3</v>
      </c>
      <c r="Q442">
        <v>3</v>
      </c>
      <c r="X442"/>
      <c r="Y442" s="3"/>
    </row>
    <row r="443" spans="1:25" ht="32.1" customHeight="1" x14ac:dyDescent="0.25">
      <c r="A443" s="1">
        <v>12759401</v>
      </c>
      <c r="B443" t="s">
        <v>382</v>
      </c>
      <c r="C443" t="s">
        <v>387</v>
      </c>
      <c r="D443" s="1">
        <v>2018</v>
      </c>
      <c r="E443" t="s">
        <v>26</v>
      </c>
      <c r="F443" t="s">
        <v>27</v>
      </c>
      <c r="G443" t="s">
        <v>37</v>
      </c>
      <c r="H443" t="s">
        <v>29</v>
      </c>
      <c r="I443" s="1" t="s">
        <v>30</v>
      </c>
      <c r="J443" s="1">
        <v>0.75</v>
      </c>
      <c r="K443" s="7">
        <v>1479.4</v>
      </c>
      <c r="L443">
        <v>30</v>
      </c>
      <c r="M443" s="7">
        <f>Tabell1[[#This Row],[Salgspris]]*Tabell1[[#This Row],[Totalt antall]]</f>
        <v>44382</v>
      </c>
      <c r="N443">
        <v>12</v>
      </c>
      <c r="O443">
        <v>3</v>
      </c>
      <c r="P443">
        <v>3</v>
      </c>
      <c r="Q443">
        <v>3</v>
      </c>
      <c r="R443">
        <v>3</v>
      </c>
      <c r="S443">
        <v>3</v>
      </c>
      <c r="T443">
        <v>3</v>
      </c>
      <c r="X443"/>
      <c r="Y443" s="3"/>
    </row>
    <row r="444" spans="1:25" ht="32.1" customHeight="1" x14ac:dyDescent="0.25">
      <c r="A444" s="1">
        <v>12760301</v>
      </c>
      <c r="B444" t="s">
        <v>382</v>
      </c>
      <c r="C444" t="s">
        <v>388</v>
      </c>
      <c r="D444" s="1">
        <v>2018</v>
      </c>
      <c r="E444" t="s">
        <v>26</v>
      </c>
      <c r="F444" t="s">
        <v>27</v>
      </c>
      <c r="G444" t="s">
        <v>37</v>
      </c>
      <c r="I444" s="1" t="s">
        <v>30</v>
      </c>
      <c r="J444" s="1">
        <v>0.75</v>
      </c>
      <c r="K444" s="7">
        <v>826.8</v>
      </c>
      <c r="L444">
        <v>24</v>
      </c>
      <c r="M444" s="7">
        <f>Tabell1[[#This Row],[Salgspris]]*Tabell1[[#This Row],[Totalt antall]]</f>
        <v>19843.199999999997</v>
      </c>
      <c r="N444">
        <v>12</v>
      </c>
      <c r="O444">
        <v>3</v>
      </c>
      <c r="Q444">
        <v>3</v>
      </c>
      <c r="U444">
        <v>3</v>
      </c>
      <c r="V444">
        <v>3</v>
      </c>
      <c r="X444"/>
      <c r="Y444" s="3"/>
    </row>
    <row r="445" spans="1:25" ht="32.1" customHeight="1" x14ac:dyDescent="0.25">
      <c r="A445" s="1">
        <v>12759501</v>
      </c>
      <c r="B445" t="s">
        <v>382</v>
      </c>
      <c r="C445" t="s">
        <v>207</v>
      </c>
      <c r="D445" s="1">
        <v>2018</v>
      </c>
      <c r="E445" t="s">
        <v>26</v>
      </c>
      <c r="F445" t="s">
        <v>27</v>
      </c>
      <c r="G445" t="s">
        <v>77</v>
      </c>
      <c r="H445" t="s">
        <v>38</v>
      </c>
      <c r="I445" s="1" t="s">
        <v>30</v>
      </c>
      <c r="J445" s="1">
        <v>0.75</v>
      </c>
      <c r="K445" s="7">
        <v>4037.5</v>
      </c>
      <c r="L445">
        <v>6</v>
      </c>
      <c r="M445" s="7">
        <f>Tabell1[[#This Row],[Salgspris]]*Tabell1[[#This Row],[Totalt antall]]</f>
        <v>24225</v>
      </c>
      <c r="N445">
        <v>3</v>
      </c>
      <c r="O445">
        <v>1</v>
      </c>
      <c r="Q445">
        <v>1</v>
      </c>
      <c r="U445">
        <v>1</v>
      </c>
      <c r="X445"/>
      <c r="Y445" s="3"/>
    </row>
    <row r="446" spans="1:25" ht="32.1" customHeight="1" x14ac:dyDescent="0.25">
      <c r="A446" s="1">
        <v>12759101</v>
      </c>
      <c r="B446" t="s">
        <v>382</v>
      </c>
      <c r="C446" t="s">
        <v>389</v>
      </c>
      <c r="D446" s="1">
        <v>2018</v>
      </c>
      <c r="E446" t="s">
        <v>26</v>
      </c>
      <c r="F446" t="s">
        <v>27</v>
      </c>
      <c r="I446" s="1" t="s">
        <v>30</v>
      </c>
      <c r="J446" s="1">
        <v>0.75</v>
      </c>
      <c r="K446" s="7">
        <v>484</v>
      </c>
      <c r="L446">
        <v>42</v>
      </c>
      <c r="M446" s="7">
        <f>Tabell1[[#This Row],[Salgspris]]*Tabell1[[#This Row],[Totalt antall]]</f>
        <v>20328</v>
      </c>
      <c r="N446">
        <v>18</v>
      </c>
      <c r="O446">
        <v>3</v>
      </c>
      <c r="P446">
        <v>3</v>
      </c>
      <c r="Q446">
        <v>3</v>
      </c>
      <c r="R446">
        <v>3</v>
      </c>
      <c r="S446">
        <v>3</v>
      </c>
      <c r="T446">
        <v>3</v>
      </c>
      <c r="U446">
        <v>3</v>
      </c>
      <c r="V446">
        <v>3</v>
      </c>
      <c r="X446"/>
      <c r="Y446" s="3"/>
    </row>
    <row r="447" spans="1:25" ht="32.1" customHeight="1" x14ac:dyDescent="0.25">
      <c r="A447" s="1">
        <v>12769001</v>
      </c>
      <c r="B447" t="s">
        <v>390</v>
      </c>
      <c r="C447" t="s">
        <v>119</v>
      </c>
      <c r="D447" s="1">
        <v>2018</v>
      </c>
      <c r="E447" t="s">
        <v>26</v>
      </c>
      <c r="F447" t="s">
        <v>27</v>
      </c>
      <c r="G447" t="s">
        <v>120</v>
      </c>
      <c r="H447" t="s">
        <v>38</v>
      </c>
      <c r="I447" s="1" t="s">
        <v>45</v>
      </c>
      <c r="J447" s="1">
        <v>0.75</v>
      </c>
      <c r="K447" s="7">
        <v>2469.4</v>
      </c>
      <c r="L447">
        <v>12</v>
      </c>
      <c r="M447" s="7">
        <f>Tabell1[[#This Row],[Salgspris]]*Tabell1[[#This Row],[Totalt antall]]</f>
        <v>29632.800000000003</v>
      </c>
      <c r="N447">
        <v>6</v>
      </c>
      <c r="O447">
        <v>2</v>
      </c>
      <c r="Q447">
        <v>2</v>
      </c>
      <c r="U447">
        <v>2</v>
      </c>
      <c r="X447"/>
      <c r="Y447" s="3"/>
    </row>
    <row r="448" spans="1:25" ht="32.1" customHeight="1" x14ac:dyDescent="0.25">
      <c r="A448" s="1">
        <v>12768601</v>
      </c>
      <c r="B448" t="s">
        <v>390</v>
      </c>
      <c r="C448" t="s">
        <v>391</v>
      </c>
      <c r="D448" s="1">
        <v>2018</v>
      </c>
      <c r="E448" t="s">
        <v>26</v>
      </c>
      <c r="F448" t="s">
        <v>27</v>
      </c>
      <c r="G448" t="s">
        <v>57</v>
      </c>
      <c r="I448" s="1" t="s">
        <v>45</v>
      </c>
      <c r="J448" s="1">
        <v>0.75</v>
      </c>
      <c r="K448" s="7">
        <v>826.8</v>
      </c>
      <c r="L448">
        <v>24</v>
      </c>
      <c r="M448" s="7">
        <f>Tabell1[[#This Row],[Salgspris]]*Tabell1[[#This Row],[Totalt antall]]</f>
        <v>19843.199999999997</v>
      </c>
      <c r="N448">
        <v>9</v>
      </c>
      <c r="O448">
        <v>3</v>
      </c>
      <c r="Q448">
        <v>3</v>
      </c>
      <c r="U448">
        <v>6</v>
      </c>
      <c r="V448">
        <v>3</v>
      </c>
      <c r="X448"/>
      <c r="Y448" s="3"/>
    </row>
    <row r="449" spans="1:25" ht="32.1" customHeight="1" x14ac:dyDescent="0.25">
      <c r="A449" s="1">
        <v>12768501</v>
      </c>
      <c r="B449" t="s">
        <v>390</v>
      </c>
      <c r="C449" t="s">
        <v>392</v>
      </c>
      <c r="D449" s="1">
        <v>2018</v>
      </c>
      <c r="E449" t="s">
        <v>26</v>
      </c>
      <c r="F449" t="s">
        <v>27</v>
      </c>
      <c r="I449" s="1" t="s">
        <v>45</v>
      </c>
      <c r="J449" s="1">
        <v>0.75</v>
      </c>
      <c r="K449" s="7">
        <v>446</v>
      </c>
      <c r="L449">
        <v>78</v>
      </c>
      <c r="M449" s="7">
        <f>Tabell1[[#This Row],[Salgspris]]*Tabell1[[#This Row],[Totalt antall]]</f>
        <v>34788</v>
      </c>
      <c r="N449">
        <v>24</v>
      </c>
      <c r="O449">
        <v>6</v>
      </c>
      <c r="P449">
        <v>6</v>
      </c>
      <c r="Q449">
        <v>6</v>
      </c>
      <c r="R449">
        <v>6</v>
      </c>
      <c r="S449">
        <v>6</v>
      </c>
      <c r="T449">
        <v>6</v>
      </c>
      <c r="U449">
        <v>12</v>
      </c>
      <c r="V449">
        <v>6</v>
      </c>
      <c r="X449"/>
      <c r="Y449" s="3"/>
    </row>
    <row r="450" spans="1:25" ht="32.1" customHeight="1" x14ac:dyDescent="0.25">
      <c r="A450" s="1">
        <v>12769201</v>
      </c>
      <c r="B450" t="s">
        <v>390</v>
      </c>
      <c r="C450" t="s">
        <v>393</v>
      </c>
      <c r="D450" s="1">
        <v>2018</v>
      </c>
      <c r="E450" t="s">
        <v>26</v>
      </c>
      <c r="F450" t="s">
        <v>27</v>
      </c>
      <c r="G450" t="s">
        <v>123</v>
      </c>
      <c r="H450" t="s">
        <v>29</v>
      </c>
      <c r="I450" s="1" t="s">
        <v>30</v>
      </c>
      <c r="J450" s="1">
        <v>0.75</v>
      </c>
      <c r="K450" s="7">
        <v>815.9</v>
      </c>
      <c r="L450">
        <v>24</v>
      </c>
      <c r="M450" s="7">
        <f>Tabell1[[#This Row],[Salgspris]]*Tabell1[[#This Row],[Totalt antall]]</f>
        <v>19581.599999999999</v>
      </c>
      <c r="N450">
        <v>9</v>
      </c>
      <c r="O450">
        <v>3</v>
      </c>
      <c r="Q450">
        <v>3</v>
      </c>
      <c r="U450">
        <v>6</v>
      </c>
      <c r="V450">
        <v>3</v>
      </c>
      <c r="X450"/>
      <c r="Y450" s="3"/>
    </row>
    <row r="451" spans="1:25" ht="32.1" customHeight="1" x14ac:dyDescent="0.25">
      <c r="A451" s="1">
        <v>12768901</v>
      </c>
      <c r="B451" t="s">
        <v>390</v>
      </c>
      <c r="C451" t="s">
        <v>394</v>
      </c>
      <c r="D451" s="1">
        <v>2018</v>
      </c>
      <c r="E451" t="s">
        <v>26</v>
      </c>
      <c r="F451" t="s">
        <v>27</v>
      </c>
      <c r="G451" t="s">
        <v>67</v>
      </c>
      <c r="I451" s="1" t="s">
        <v>30</v>
      </c>
      <c r="J451" s="1">
        <v>0.75</v>
      </c>
      <c r="K451" s="7">
        <v>854</v>
      </c>
      <c r="L451">
        <v>36</v>
      </c>
      <c r="M451" s="7">
        <f>Tabell1[[#This Row],[Salgspris]]*Tabell1[[#This Row],[Totalt antall]]</f>
        <v>30744</v>
      </c>
      <c r="N451">
        <v>18</v>
      </c>
      <c r="O451">
        <v>6</v>
      </c>
      <c r="Q451">
        <v>6</v>
      </c>
      <c r="T451">
        <v>6</v>
      </c>
      <c r="X451"/>
      <c r="Y451" s="3"/>
    </row>
    <row r="452" spans="1:25" ht="32.1" customHeight="1" x14ac:dyDescent="0.25">
      <c r="A452" s="1">
        <v>12768301</v>
      </c>
      <c r="B452" t="s">
        <v>390</v>
      </c>
      <c r="C452" t="s">
        <v>395</v>
      </c>
      <c r="D452" s="1">
        <v>2018</v>
      </c>
      <c r="E452" t="s">
        <v>26</v>
      </c>
      <c r="F452" t="s">
        <v>27</v>
      </c>
      <c r="G452" t="s">
        <v>35</v>
      </c>
      <c r="I452" s="1" t="s">
        <v>30</v>
      </c>
      <c r="J452" s="1">
        <v>0.75</v>
      </c>
      <c r="K452" s="7">
        <v>826.8</v>
      </c>
      <c r="L452">
        <v>36</v>
      </c>
      <c r="M452" s="7">
        <f>Tabell1[[#This Row],[Salgspris]]*Tabell1[[#This Row],[Totalt antall]]</f>
        <v>29764.799999999999</v>
      </c>
      <c r="N452">
        <v>18</v>
      </c>
      <c r="O452">
        <v>3</v>
      </c>
      <c r="Q452">
        <v>3</v>
      </c>
      <c r="R452">
        <v>3</v>
      </c>
      <c r="T452">
        <v>3</v>
      </c>
      <c r="U452">
        <v>3</v>
      </c>
      <c r="V452">
        <v>3</v>
      </c>
      <c r="X452"/>
      <c r="Y452" s="3"/>
    </row>
    <row r="453" spans="1:25" ht="32.1" customHeight="1" x14ac:dyDescent="0.25">
      <c r="A453" s="1">
        <v>12769101</v>
      </c>
      <c r="B453" t="s">
        <v>390</v>
      </c>
      <c r="C453" t="s">
        <v>396</v>
      </c>
      <c r="D453" s="1">
        <v>2018</v>
      </c>
      <c r="E453" t="s">
        <v>26</v>
      </c>
      <c r="F453" t="s">
        <v>27</v>
      </c>
      <c r="G453" t="s">
        <v>35</v>
      </c>
      <c r="I453" s="1" t="s">
        <v>30</v>
      </c>
      <c r="J453" s="1">
        <v>0.75</v>
      </c>
      <c r="K453" s="7">
        <v>5437.5</v>
      </c>
      <c r="L453">
        <v>12</v>
      </c>
      <c r="M453" s="7">
        <f>Tabell1[[#This Row],[Salgspris]]*Tabell1[[#This Row],[Totalt antall]]</f>
        <v>65250</v>
      </c>
      <c r="N453">
        <v>5</v>
      </c>
      <c r="O453">
        <v>1</v>
      </c>
      <c r="P453">
        <v>1</v>
      </c>
      <c r="Q453">
        <v>1</v>
      </c>
      <c r="S453">
        <v>1</v>
      </c>
      <c r="T453">
        <v>1</v>
      </c>
      <c r="U453">
        <v>1</v>
      </c>
      <c r="V453">
        <v>1</v>
      </c>
      <c r="X453"/>
      <c r="Y453" s="3"/>
    </row>
    <row r="454" spans="1:25" ht="32.1" customHeight="1" x14ac:dyDescent="0.25">
      <c r="A454" s="1">
        <v>12769301</v>
      </c>
      <c r="B454" t="s">
        <v>390</v>
      </c>
      <c r="C454" t="s">
        <v>397</v>
      </c>
      <c r="D454" s="1">
        <v>2018</v>
      </c>
      <c r="E454" t="s">
        <v>26</v>
      </c>
      <c r="F454" t="s">
        <v>27</v>
      </c>
      <c r="G454" t="s">
        <v>74</v>
      </c>
      <c r="I454" s="1" t="s">
        <v>30</v>
      </c>
      <c r="J454" s="1">
        <v>0.75</v>
      </c>
      <c r="K454" s="7">
        <v>897.5</v>
      </c>
      <c r="L454">
        <v>24</v>
      </c>
      <c r="M454" s="7">
        <f>Tabell1[[#This Row],[Salgspris]]*Tabell1[[#This Row],[Totalt antall]]</f>
        <v>21540</v>
      </c>
      <c r="N454">
        <v>9</v>
      </c>
      <c r="O454">
        <v>3</v>
      </c>
      <c r="Q454">
        <v>3</v>
      </c>
      <c r="U454">
        <v>6</v>
      </c>
      <c r="V454">
        <v>3</v>
      </c>
      <c r="X454"/>
      <c r="Y454" s="3"/>
    </row>
    <row r="455" spans="1:25" ht="32.1" customHeight="1" x14ac:dyDescent="0.25">
      <c r="A455" s="1">
        <v>12768801</v>
      </c>
      <c r="B455" t="s">
        <v>390</v>
      </c>
      <c r="C455" t="s">
        <v>398</v>
      </c>
      <c r="D455" s="1">
        <v>2018</v>
      </c>
      <c r="E455" t="s">
        <v>26</v>
      </c>
      <c r="F455" t="s">
        <v>27</v>
      </c>
      <c r="G455" t="s">
        <v>77</v>
      </c>
      <c r="H455" t="s">
        <v>38</v>
      </c>
      <c r="I455" s="1" t="s">
        <v>30</v>
      </c>
      <c r="J455" s="1">
        <v>0.75</v>
      </c>
      <c r="K455" s="7">
        <v>5092.5</v>
      </c>
      <c r="L455">
        <v>18</v>
      </c>
      <c r="M455" s="7">
        <f>Tabell1[[#This Row],[Salgspris]]*Tabell1[[#This Row],[Totalt antall]]</f>
        <v>91665</v>
      </c>
      <c r="N455">
        <v>9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2</v>
      </c>
      <c r="V455">
        <v>1</v>
      </c>
      <c r="X455"/>
      <c r="Y455" s="3"/>
    </row>
    <row r="456" spans="1:25" ht="32.1" customHeight="1" x14ac:dyDescent="0.25">
      <c r="A456" s="1">
        <v>12768401</v>
      </c>
      <c r="B456" t="s">
        <v>390</v>
      </c>
      <c r="C456" t="s">
        <v>399</v>
      </c>
      <c r="D456" s="1">
        <v>2018</v>
      </c>
      <c r="E456" t="s">
        <v>26</v>
      </c>
      <c r="F456" t="s">
        <v>27</v>
      </c>
      <c r="I456" s="1" t="s">
        <v>30</v>
      </c>
      <c r="J456" s="1">
        <v>0.75</v>
      </c>
      <c r="K456" s="7">
        <v>446</v>
      </c>
      <c r="L456">
        <v>66</v>
      </c>
      <c r="M456" s="7">
        <f>Tabell1[[#This Row],[Salgspris]]*Tabell1[[#This Row],[Totalt antall]]</f>
        <v>29436</v>
      </c>
      <c r="N456">
        <v>24</v>
      </c>
      <c r="O456">
        <v>6</v>
      </c>
      <c r="P456">
        <v>6</v>
      </c>
      <c r="Q456">
        <v>6</v>
      </c>
      <c r="S456">
        <v>6</v>
      </c>
      <c r="V456">
        <v>6</v>
      </c>
      <c r="W456">
        <v>6</v>
      </c>
      <c r="X456">
        <v>6</v>
      </c>
      <c r="Y456" s="3"/>
    </row>
    <row r="457" spans="1:25" ht="32.1" customHeight="1" x14ac:dyDescent="0.25">
      <c r="A457" s="1">
        <v>12763501</v>
      </c>
      <c r="B457" t="s">
        <v>400</v>
      </c>
      <c r="C457" t="s">
        <v>401</v>
      </c>
      <c r="D457" s="1">
        <v>2018</v>
      </c>
      <c r="E457" t="s">
        <v>26</v>
      </c>
      <c r="F457" t="s">
        <v>27</v>
      </c>
      <c r="G457" t="s">
        <v>120</v>
      </c>
      <c r="H457" t="s">
        <v>38</v>
      </c>
      <c r="I457" s="1" t="s">
        <v>30</v>
      </c>
      <c r="J457" s="1">
        <v>0.75</v>
      </c>
      <c r="K457" s="7">
        <v>1169.3</v>
      </c>
      <c r="L457">
        <v>12</v>
      </c>
      <c r="M457" s="7">
        <f>Tabell1[[#This Row],[Salgspris]]*Tabell1[[#This Row],[Totalt antall]]</f>
        <v>14031.599999999999</v>
      </c>
      <c r="N457">
        <v>6</v>
      </c>
      <c r="R457">
        <v>2</v>
      </c>
      <c r="S457">
        <v>2</v>
      </c>
      <c r="T457">
        <v>2</v>
      </c>
      <c r="X457"/>
      <c r="Y457" s="3"/>
    </row>
    <row r="458" spans="1:25" ht="32.1" customHeight="1" x14ac:dyDescent="0.25">
      <c r="A458" s="1">
        <v>12762201</v>
      </c>
      <c r="B458" t="s">
        <v>400</v>
      </c>
      <c r="C458" t="s">
        <v>191</v>
      </c>
      <c r="D458" s="1">
        <v>2018</v>
      </c>
      <c r="E458" t="s">
        <v>26</v>
      </c>
      <c r="F458" t="s">
        <v>27</v>
      </c>
      <c r="G458" t="s">
        <v>120</v>
      </c>
      <c r="H458" t="s">
        <v>38</v>
      </c>
      <c r="I458" s="1" t="s">
        <v>30</v>
      </c>
      <c r="J458" s="1">
        <v>0.75</v>
      </c>
      <c r="K458" s="7">
        <v>1125.8</v>
      </c>
      <c r="L458">
        <v>12</v>
      </c>
      <c r="M458" s="7">
        <f>Tabell1[[#This Row],[Salgspris]]*Tabell1[[#This Row],[Totalt antall]]</f>
        <v>13509.599999999999</v>
      </c>
      <c r="N458">
        <v>6</v>
      </c>
      <c r="O458">
        <v>2</v>
      </c>
      <c r="P458">
        <v>2</v>
      </c>
      <c r="Q458">
        <v>2</v>
      </c>
      <c r="X458"/>
      <c r="Y458" s="3"/>
    </row>
    <row r="459" spans="1:25" ht="32.1" customHeight="1" x14ac:dyDescent="0.25">
      <c r="A459" s="1">
        <v>12763601</v>
      </c>
      <c r="B459" t="s">
        <v>400</v>
      </c>
      <c r="C459" t="s">
        <v>81</v>
      </c>
      <c r="D459" s="1">
        <v>2018</v>
      </c>
      <c r="E459" t="s">
        <v>26</v>
      </c>
      <c r="F459" t="s">
        <v>27</v>
      </c>
      <c r="G459" t="s">
        <v>67</v>
      </c>
      <c r="H459" t="s">
        <v>29</v>
      </c>
      <c r="I459" s="1" t="s">
        <v>30</v>
      </c>
      <c r="J459" s="1">
        <v>0.75</v>
      </c>
      <c r="K459" s="7">
        <v>1713.3</v>
      </c>
      <c r="L459">
        <v>12</v>
      </c>
      <c r="M459" s="7">
        <f>Tabell1[[#This Row],[Salgspris]]*Tabell1[[#This Row],[Totalt antall]]</f>
        <v>20559.599999999999</v>
      </c>
      <c r="N459">
        <v>6</v>
      </c>
      <c r="O459">
        <v>2</v>
      </c>
      <c r="Q459">
        <v>2</v>
      </c>
      <c r="V459">
        <v>2</v>
      </c>
      <c r="X459"/>
      <c r="Y459" s="3"/>
    </row>
    <row r="460" spans="1:25" ht="32.1" customHeight="1" x14ac:dyDescent="0.25">
      <c r="A460" s="1">
        <v>12763701</v>
      </c>
      <c r="B460" t="s">
        <v>400</v>
      </c>
      <c r="C460" t="s">
        <v>402</v>
      </c>
      <c r="D460" s="1">
        <v>2018</v>
      </c>
      <c r="E460" t="s">
        <v>26</v>
      </c>
      <c r="F460" t="s">
        <v>27</v>
      </c>
      <c r="G460" t="s">
        <v>67</v>
      </c>
      <c r="H460" t="s">
        <v>29</v>
      </c>
      <c r="I460" s="1" t="s">
        <v>30</v>
      </c>
      <c r="J460" s="1">
        <v>0.75</v>
      </c>
      <c r="K460" s="7">
        <v>1305.3</v>
      </c>
      <c r="L460">
        <v>12</v>
      </c>
      <c r="M460" s="7">
        <f>Tabell1[[#This Row],[Salgspris]]*Tabell1[[#This Row],[Totalt antall]]</f>
        <v>15663.599999999999</v>
      </c>
      <c r="N460">
        <v>6</v>
      </c>
      <c r="O460">
        <v>2</v>
      </c>
      <c r="Q460">
        <v>2</v>
      </c>
      <c r="U460">
        <v>2</v>
      </c>
      <c r="X460"/>
      <c r="Y460" s="3"/>
    </row>
    <row r="461" spans="1:25" ht="32.1" customHeight="1" x14ac:dyDescent="0.25">
      <c r="A461" s="1">
        <v>12761801</v>
      </c>
      <c r="B461" t="s">
        <v>400</v>
      </c>
      <c r="C461" t="s">
        <v>403</v>
      </c>
      <c r="D461" s="1">
        <v>2018</v>
      </c>
      <c r="E461" t="s">
        <v>26</v>
      </c>
      <c r="F461" t="s">
        <v>27</v>
      </c>
      <c r="G461" t="s">
        <v>42</v>
      </c>
      <c r="H461" t="s">
        <v>29</v>
      </c>
      <c r="I461" s="1" t="s">
        <v>30</v>
      </c>
      <c r="J461" s="1">
        <v>0.75</v>
      </c>
      <c r="K461" s="7">
        <v>913.8</v>
      </c>
      <c r="L461">
        <v>24</v>
      </c>
      <c r="M461" s="7">
        <f>Tabell1[[#This Row],[Salgspris]]*Tabell1[[#This Row],[Totalt antall]]</f>
        <v>21931.199999999997</v>
      </c>
      <c r="N461">
        <v>12</v>
      </c>
      <c r="O461">
        <v>3</v>
      </c>
      <c r="Q461">
        <v>3</v>
      </c>
      <c r="U461">
        <v>3</v>
      </c>
      <c r="V461">
        <v>3</v>
      </c>
      <c r="X461"/>
      <c r="Y461" s="3"/>
    </row>
    <row r="462" spans="1:25" ht="32.1" customHeight="1" x14ac:dyDescent="0.25">
      <c r="A462" s="1">
        <v>12761301</v>
      </c>
      <c r="B462" t="s">
        <v>400</v>
      </c>
      <c r="C462" t="s">
        <v>404</v>
      </c>
      <c r="D462" s="1">
        <v>2018</v>
      </c>
      <c r="E462" t="s">
        <v>26</v>
      </c>
      <c r="F462" t="s">
        <v>27</v>
      </c>
      <c r="G462" t="s">
        <v>256</v>
      </c>
      <c r="H462" t="s">
        <v>29</v>
      </c>
      <c r="I462" s="1" t="s">
        <v>30</v>
      </c>
      <c r="J462" s="1">
        <v>0.75</v>
      </c>
      <c r="K462" s="7">
        <v>636.4</v>
      </c>
      <c r="L462">
        <v>132</v>
      </c>
      <c r="M462" s="7">
        <f>Tabell1[[#This Row],[Salgspris]]*Tabell1[[#This Row],[Totalt antall]]</f>
        <v>84004.800000000003</v>
      </c>
      <c r="N462">
        <v>36</v>
      </c>
      <c r="O462">
        <v>12</v>
      </c>
      <c r="P462">
        <v>12</v>
      </c>
      <c r="Q462">
        <v>12</v>
      </c>
      <c r="S462">
        <v>12</v>
      </c>
      <c r="T462">
        <v>12</v>
      </c>
      <c r="U462">
        <v>6</v>
      </c>
      <c r="V462">
        <v>24</v>
      </c>
      <c r="W462">
        <v>3</v>
      </c>
      <c r="X462">
        <v>3</v>
      </c>
      <c r="Y462" s="3"/>
    </row>
    <row r="463" spans="1:25" ht="32.1" customHeight="1" x14ac:dyDescent="0.25">
      <c r="A463" s="1">
        <v>12761501</v>
      </c>
      <c r="B463" t="s">
        <v>400</v>
      </c>
      <c r="C463" t="s">
        <v>405</v>
      </c>
      <c r="D463" s="1">
        <v>2018</v>
      </c>
      <c r="E463" t="s">
        <v>26</v>
      </c>
      <c r="F463" t="s">
        <v>27</v>
      </c>
      <c r="G463" t="s">
        <v>28</v>
      </c>
      <c r="H463" t="s">
        <v>29</v>
      </c>
      <c r="I463" s="1" t="s">
        <v>30</v>
      </c>
      <c r="J463" s="1">
        <v>0.75</v>
      </c>
      <c r="K463" s="7">
        <v>1038.7</v>
      </c>
      <c r="L463">
        <v>48</v>
      </c>
      <c r="M463" s="7">
        <f>Tabell1[[#This Row],[Salgspris]]*Tabell1[[#This Row],[Totalt antall]]</f>
        <v>49857.600000000006</v>
      </c>
      <c r="N463">
        <v>24</v>
      </c>
      <c r="O463">
        <v>3</v>
      </c>
      <c r="P463">
        <v>3</v>
      </c>
      <c r="Q463">
        <v>3</v>
      </c>
      <c r="R463">
        <v>3</v>
      </c>
      <c r="S463">
        <v>3</v>
      </c>
      <c r="T463">
        <v>3</v>
      </c>
      <c r="U463">
        <v>3</v>
      </c>
      <c r="V463">
        <v>3</v>
      </c>
      <c r="X463"/>
      <c r="Y463" s="3"/>
    </row>
    <row r="464" spans="1:25" ht="32.1" customHeight="1" x14ac:dyDescent="0.25">
      <c r="A464" s="1">
        <v>12762001</v>
      </c>
      <c r="B464" t="s">
        <v>400</v>
      </c>
      <c r="C464" t="s">
        <v>406</v>
      </c>
      <c r="D464" s="1">
        <v>2018</v>
      </c>
      <c r="E464" t="s">
        <v>26</v>
      </c>
      <c r="F464" t="s">
        <v>27</v>
      </c>
      <c r="G464" t="s">
        <v>28</v>
      </c>
      <c r="H464" t="s">
        <v>29</v>
      </c>
      <c r="I464" s="1" t="s">
        <v>30</v>
      </c>
      <c r="J464" s="1">
        <v>0.75</v>
      </c>
      <c r="K464" s="7">
        <v>1017</v>
      </c>
      <c r="L464">
        <v>24</v>
      </c>
      <c r="M464" s="7">
        <f>Tabell1[[#This Row],[Salgspris]]*Tabell1[[#This Row],[Totalt antall]]</f>
        <v>24408</v>
      </c>
      <c r="N464">
        <v>12</v>
      </c>
      <c r="O464">
        <v>3</v>
      </c>
      <c r="Q464">
        <v>3</v>
      </c>
      <c r="U464">
        <v>3</v>
      </c>
      <c r="V464">
        <v>3</v>
      </c>
      <c r="X464"/>
      <c r="Y464" s="3"/>
    </row>
    <row r="465" spans="1:25" ht="32.1" customHeight="1" x14ac:dyDescent="0.25">
      <c r="A465" s="1">
        <v>3675405</v>
      </c>
      <c r="B465" t="s">
        <v>407</v>
      </c>
      <c r="C465" t="s">
        <v>234</v>
      </c>
      <c r="D465" s="1">
        <v>2018</v>
      </c>
      <c r="E465" t="s">
        <v>26</v>
      </c>
      <c r="F465" t="s">
        <v>27</v>
      </c>
      <c r="G465" t="s">
        <v>55</v>
      </c>
      <c r="H465" t="s">
        <v>29</v>
      </c>
      <c r="I465" s="1" t="s">
        <v>45</v>
      </c>
      <c r="J465" s="1">
        <v>1.5</v>
      </c>
      <c r="K465" s="7">
        <v>3219.3</v>
      </c>
      <c r="L465">
        <v>30</v>
      </c>
      <c r="M465" s="7">
        <f>Tabell1[[#This Row],[Salgspris]]*Tabell1[[#This Row],[Totalt antall]]</f>
        <v>96579</v>
      </c>
      <c r="N465">
        <v>15</v>
      </c>
      <c r="O465">
        <v>3</v>
      </c>
      <c r="P465">
        <v>3</v>
      </c>
      <c r="Q465">
        <v>3</v>
      </c>
      <c r="U465">
        <v>3</v>
      </c>
      <c r="V465">
        <v>3</v>
      </c>
      <c r="X465"/>
      <c r="Y465" s="3" t="s">
        <v>31</v>
      </c>
    </row>
    <row r="466" spans="1:25" ht="32.1" customHeight="1" x14ac:dyDescent="0.25">
      <c r="A466" s="1">
        <v>9342801</v>
      </c>
      <c r="B466" t="s">
        <v>407</v>
      </c>
      <c r="C466" t="s">
        <v>235</v>
      </c>
      <c r="D466" s="1">
        <v>2018</v>
      </c>
      <c r="E466" t="s">
        <v>26</v>
      </c>
      <c r="F466" t="s">
        <v>27</v>
      </c>
      <c r="G466" t="s">
        <v>55</v>
      </c>
      <c r="H466" t="s">
        <v>29</v>
      </c>
      <c r="I466" s="1" t="s">
        <v>45</v>
      </c>
      <c r="J466" s="1">
        <v>0.75</v>
      </c>
      <c r="K466" s="7">
        <v>1500.3</v>
      </c>
      <c r="L466">
        <v>36</v>
      </c>
      <c r="M466" s="7">
        <f>Tabell1[[#This Row],[Salgspris]]*Tabell1[[#This Row],[Totalt antall]]</f>
        <v>54010.799999999996</v>
      </c>
      <c r="N466">
        <v>18</v>
      </c>
      <c r="O466">
        <v>3</v>
      </c>
      <c r="P466">
        <v>3</v>
      </c>
      <c r="Q466">
        <v>3</v>
      </c>
      <c r="R466">
        <v>3</v>
      </c>
      <c r="S466">
        <v>3</v>
      </c>
      <c r="T466">
        <v>3</v>
      </c>
      <c r="X466"/>
      <c r="Y466" s="3" t="s">
        <v>31</v>
      </c>
    </row>
    <row r="467" spans="1:25" ht="32.1" customHeight="1" x14ac:dyDescent="0.25">
      <c r="A467" s="1">
        <v>3641301</v>
      </c>
      <c r="B467" t="s">
        <v>407</v>
      </c>
      <c r="C467" t="s">
        <v>87</v>
      </c>
      <c r="D467" s="1">
        <v>2018</v>
      </c>
      <c r="E467" t="s">
        <v>26</v>
      </c>
      <c r="F467" t="s">
        <v>27</v>
      </c>
      <c r="G467" t="s">
        <v>55</v>
      </c>
      <c r="H467" t="s">
        <v>29</v>
      </c>
      <c r="I467" s="1" t="s">
        <v>45</v>
      </c>
      <c r="J467" s="1">
        <v>0.75</v>
      </c>
      <c r="K467" s="7">
        <v>1500.3</v>
      </c>
      <c r="L467">
        <v>60</v>
      </c>
      <c r="M467" s="7">
        <f>Tabell1[[#This Row],[Salgspris]]*Tabell1[[#This Row],[Totalt antall]]</f>
        <v>90018</v>
      </c>
      <c r="N467">
        <v>24</v>
      </c>
      <c r="O467">
        <v>6</v>
      </c>
      <c r="P467">
        <v>3</v>
      </c>
      <c r="Q467">
        <v>6</v>
      </c>
      <c r="S467">
        <v>3</v>
      </c>
      <c r="U467">
        <v>12</v>
      </c>
      <c r="V467">
        <v>6</v>
      </c>
      <c r="X467"/>
      <c r="Y467" s="3" t="s">
        <v>31</v>
      </c>
    </row>
    <row r="468" spans="1:25" ht="32.1" customHeight="1" x14ac:dyDescent="0.25">
      <c r="A468" s="1">
        <v>7900001</v>
      </c>
      <c r="B468" t="s">
        <v>407</v>
      </c>
      <c r="C468" t="s">
        <v>408</v>
      </c>
      <c r="D468" s="1">
        <v>2018</v>
      </c>
      <c r="E468" t="s">
        <v>26</v>
      </c>
      <c r="F468" t="s">
        <v>27</v>
      </c>
      <c r="G468" t="s">
        <v>55</v>
      </c>
      <c r="H468" t="s">
        <v>29</v>
      </c>
      <c r="I468" s="1" t="s">
        <v>45</v>
      </c>
      <c r="J468" s="1">
        <v>0.75</v>
      </c>
      <c r="K468" s="7">
        <v>1500.3</v>
      </c>
      <c r="L468">
        <v>60</v>
      </c>
      <c r="M468" s="7">
        <f>Tabell1[[#This Row],[Salgspris]]*Tabell1[[#This Row],[Totalt antall]]</f>
        <v>90018</v>
      </c>
      <c r="N468">
        <v>18</v>
      </c>
      <c r="O468">
        <v>6</v>
      </c>
      <c r="P468">
        <v>6</v>
      </c>
      <c r="Q468">
        <v>6</v>
      </c>
      <c r="R468">
        <v>6</v>
      </c>
      <c r="T468">
        <v>6</v>
      </c>
      <c r="U468">
        <v>12</v>
      </c>
      <c r="X468"/>
      <c r="Y468" s="3" t="s">
        <v>31</v>
      </c>
    </row>
    <row r="469" spans="1:25" ht="32.1" customHeight="1" x14ac:dyDescent="0.25">
      <c r="A469" s="1">
        <v>3641401</v>
      </c>
      <c r="B469" t="s">
        <v>407</v>
      </c>
      <c r="C469" t="s">
        <v>322</v>
      </c>
      <c r="D469" s="1">
        <v>2018</v>
      </c>
      <c r="E469" t="s">
        <v>26</v>
      </c>
      <c r="F469" t="s">
        <v>27</v>
      </c>
      <c r="G469" t="s">
        <v>99</v>
      </c>
      <c r="H469" t="s">
        <v>38</v>
      </c>
      <c r="I469" s="1" t="s">
        <v>45</v>
      </c>
      <c r="J469" s="1">
        <v>0.75</v>
      </c>
      <c r="K469" s="7">
        <v>7500</v>
      </c>
      <c r="L469">
        <v>12</v>
      </c>
      <c r="M469" s="7">
        <f>Tabell1[[#This Row],[Salgspris]]*Tabell1[[#This Row],[Totalt antall]]</f>
        <v>90000</v>
      </c>
      <c r="N469">
        <v>6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X469"/>
      <c r="Y469" s="3" t="s">
        <v>31</v>
      </c>
    </row>
    <row r="470" spans="1:25" ht="32.1" customHeight="1" x14ac:dyDescent="0.25">
      <c r="A470" s="1">
        <v>9603301</v>
      </c>
      <c r="B470" t="s">
        <v>407</v>
      </c>
      <c r="C470" t="s">
        <v>90</v>
      </c>
      <c r="D470" s="1">
        <v>2018</v>
      </c>
      <c r="E470" t="s">
        <v>26</v>
      </c>
      <c r="F470" t="s">
        <v>27</v>
      </c>
      <c r="G470" t="s">
        <v>91</v>
      </c>
      <c r="H470" t="s">
        <v>38</v>
      </c>
      <c r="I470" s="1" t="s">
        <v>45</v>
      </c>
      <c r="J470" s="1">
        <v>0.75</v>
      </c>
      <c r="K470" s="7">
        <v>7500</v>
      </c>
      <c r="L470">
        <v>12</v>
      </c>
      <c r="M470" s="7">
        <f>Tabell1[[#This Row],[Salgspris]]*Tabell1[[#This Row],[Totalt antall]]</f>
        <v>90000</v>
      </c>
      <c r="N470">
        <v>6</v>
      </c>
      <c r="O470">
        <v>1</v>
      </c>
      <c r="Q470">
        <v>1</v>
      </c>
      <c r="U470">
        <v>1</v>
      </c>
      <c r="V470">
        <v>1</v>
      </c>
      <c r="W470">
        <v>1</v>
      </c>
      <c r="X470">
        <v>1</v>
      </c>
      <c r="Y470" s="3" t="s">
        <v>31</v>
      </c>
    </row>
    <row r="471" spans="1:25" ht="32.1" customHeight="1" x14ac:dyDescent="0.25">
      <c r="A471" s="1">
        <v>10757401</v>
      </c>
      <c r="B471" t="s">
        <v>407</v>
      </c>
      <c r="C471" t="s">
        <v>409</v>
      </c>
      <c r="D471" s="1">
        <v>2018</v>
      </c>
      <c r="E471" t="s">
        <v>26</v>
      </c>
      <c r="F471" t="s">
        <v>27</v>
      </c>
      <c r="G471" t="s">
        <v>410</v>
      </c>
      <c r="H471" t="s">
        <v>29</v>
      </c>
      <c r="I471" s="1" t="s">
        <v>45</v>
      </c>
      <c r="J471" s="1">
        <v>0.75</v>
      </c>
      <c r="K471" s="7">
        <v>650.29999999999995</v>
      </c>
      <c r="L471">
        <v>60</v>
      </c>
      <c r="M471" s="7">
        <f>Tabell1[[#This Row],[Salgspris]]*Tabell1[[#This Row],[Totalt antall]]</f>
        <v>39018</v>
      </c>
      <c r="N471">
        <v>24</v>
      </c>
      <c r="S471">
        <v>6</v>
      </c>
      <c r="U471">
        <v>12</v>
      </c>
      <c r="V471">
        <v>6</v>
      </c>
      <c r="W471">
        <v>6</v>
      </c>
      <c r="X471">
        <v>6</v>
      </c>
      <c r="Y471" s="3" t="s">
        <v>31</v>
      </c>
    </row>
    <row r="472" spans="1:25" ht="32.1" customHeight="1" x14ac:dyDescent="0.25">
      <c r="A472" s="1">
        <v>9344201</v>
      </c>
      <c r="B472" t="s">
        <v>407</v>
      </c>
      <c r="C472" t="s">
        <v>55</v>
      </c>
      <c r="D472" s="1">
        <v>2018</v>
      </c>
      <c r="E472" t="s">
        <v>26</v>
      </c>
      <c r="F472" t="s">
        <v>27</v>
      </c>
      <c r="G472" t="s">
        <v>55</v>
      </c>
      <c r="I472" s="1" t="s">
        <v>30</v>
      </c>
      <c r="J472" s="1">
        <v>0.75</v>
      </c>
      <c r="K472" s="7">
        <v>460.3</v>
      </c>
      <c r="L472">
        <v>24</v>
      </c>
      <c r="M472" s="7">
        <f>Tabell1[[#This Row],[Salgspris]]*Tabell1[[#This Row],[Totalt antall]]</f>
        <v>11047.2</v>
      </c>
      <c r="N472">
        <v>12</v>
      </c>
      <c r="O472">
        <v>2</v>
      </c>
      <c r="P472">
        <v>2</v>
      </c>
      <c r="Q472">
        <v>2</v>
      </c>
      <c r="R472">
        <v>2</v>
      </c>
      <c r="S472">
        <v>2</v>
      </c>
      <c r="T472">
        <v>2</v>
      </c>
      <c r="X472"/>
      <c r="Y472" s="3" t="s">
        <v>31</v>
      </c>
    </row>
    <row r="473" spans="1:25" ht="32.1" customHeight="1" x14ac:dyDescent="0.25">
      <c r="A473" s="1">
        <v>8255401</v>
      </c>
      <c r="B473" t="s">
        <v>407</v>
      </c>
      <c r="C473" t="s">
        <v>411</v>
      </c>
      <c r="D473" s="1">
        <v>2018</v>
      </c>
      <c r="E473" t="s">
        <v>26</v>
      </c>
      <c r="F473" t="s">
        <v>27</v>
      </c>
      <c r="G473" t="s">
        <v>55</v>
      </c>
      <c r="H473" t="s">
        <v>29</v>
      </c>
      <c r="I473" s="1" t="s">
        <v>30</v>
      </c>
      <c r="J473" s="1">
        <v>0.75</v>
      </c>
      <c r="K473" s="7">
        <v>650.29999999999995</v>
      </c>
      <c r="L473">
        <v>84</v>
      </c>
      <c r="M473" s="7">
        <f>Tabell1[[#This Row],[Salgspris]]*Tabell1[[#This Row],[Totalt antall]]</f>
        <v>54625.2</v>
      </c>
      <c r="N473">
        <v>18</v>
      </c>
      <c r="O473">
        <v>6</v>
      </c>
      <c r="P473">
        <v>3</v>
      </c>
      <c r="Q473">
        <v>6</v>
      </c>
      <c r="R473">
        <v>3</v>
      </c>
      <c r="S473">
        <v>3</v>
      </c>
      <c r="T473">
        <v>3</v>
      </c>
      <c r="U473">
        <v>24</v>
      </c>
      <c r="V473">
        <v>12</v>
      </c>
      <c r="W473">
        <v>3</v>
      </c>
      <c r="X473">
        <v>3</v>
      </c>
      <c r="Y473" s="3" t="s">
        <v>88</v>
      </c>
    </row>
    <row r="474" spans="1:25" ht="32.1" customHeight="1" x14ac:dyDescent="0.25">
      <c r="A474" s="1">
        <v>12774201</v>
      </c>
      <c r="B474" t="s">
        <v>412</v>
      </c>
      <c r="C474" t="s">
        <v>413</v>
      </c>
      <c r="D474" s="1">
        <v>2018</v>
      </c>
      <c r="E474" t="s">
        <v>26</v>
      </c>
      <c r="F474" t="s">
        <v>27</v>
      </c>
      <c r="G474" t="s">
        <v>35</v>
      </c>
      <c r="H474" t="s">
        <v>38</v>
      </c>
      <c r="I474" s="1" t="s">
        <v>30</v>
      </c>
      <c r="J474" s="1">
        <v>0.75</v>
      </c>
      <c r="K474" s="7">
        <v>2640.8</v>
      </c>
      <c r="L474">
        <v>24</v>
      </c>
      <c r="M474" s="7">
        <f>Tabell1[[#This Row],[Salgspris]]*Tabell1[[#This Row],[Totalt antall]]</f>
        <v>63379.200000000004</v>
      </c>
      <c r="N474">
        <v>12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X474"/>
      <c r="Y474" s="3"/>
    </row>
    <row r="475" spans="1:25" ht="32.1" customHeight="1" x14ac:dyDescent="0.25">
      <c r="A475" s="1">
        <v>12774001</v>
      </c>
      <c r="B475" t="s">
        <v>412</v>
      </c>
      <c r="C475" t="s">
        <v>283</v>
      </c>
      <c r="D475" s="1">
        <v>2018</v>
      </c>
      <c r="E475" t="s">
        <v>26</v>
      </c>
      <c r="F475" t="s">
        <v>27</v>
      </c>
      <c r="G475" t="s">
        <v>35</v>
      </c>
      <c r="H475" t="s">
        <v>38</v>
      </c>
      <c r="I475" s="1" t="s">
        <v>30</v>
      </c>
      <c r="J475" s="1">
        <v>0.75</v>
      </c>
      <c r="K475" s="7">
        <v>1770.3</v>
      </c>
      <c r="L475">
        <v>36</v>
      </c>
      <c r="M475" s="7">
        <f>Tabell1[[#This Row],[Salgspris]]*Tabell1[[#This Row],[Totalt antall]]</f>
        <v>63730.799999999996</v>
      </c>
      <c r="N475">
        <v>18</v>
      </c>
      <c r="O475">
        <v>3</v>
      </c>
      <c r="P475">
        <v>3</v>
      </c>
      <c r="Q475">
        <v>3</v>
      </c>
      <c r="S475">
        <v>3</v>
      </c>
      <c r="T475">
        <v>3</v>
      </c>
      <c r="V475">
        <v>3</v>
      </c>
      <c r="X475"/>
      <c r="Y475" s="3"/>
    </row>
    <row r="476" spans="1:25" ht="32.1" customHeight="1" x14ac:dyDescent="0.25">
      <c r="A476" s="1">
        <v>12773901</v>
      </c>
      <c r="B476" t="s">
        <v>412</v>
      </c>
      <c r="C476" t="s">
        <v>170</v>
      </c>
      <c r="D476" s="1">
        <v>2018</v>
      </c>
      <c r="E476" t="s">
        <v>26</v>
      </c>
      <c r="F476" t="s">
        <v>27</v>
      </c>
      <c r="G476" t="s">
        <v>35</v>
      </c>
      <c r="H476" t="s">
        <v>29</v>
      </c>
      <c r="I476" s="1" t="s">
        <v>30</v>
      </c>
      <c r="J476" s="1">
        <v>0.75</v>
      </c>
      <c r="K476" s="7">
        <v>1113.2</v>
      </c>
      <c r="L476">
        <v>24</v>
      </c>
      <c r="M476" s="7">
        <f>Tabell1[[#This Row],[Salgspris]]*Tabell1[[#This Row],[Totalt antall]]</f>
        <v>26716.800000000003</v>
      </c>
      <c r="N476">
        <v>12</v>
      </c>
      <c r="O476">
        <v>3</v>
      </c>
      <c r="Q476">
        <v>3</v>
      </c>
      <c r="U476">
        <v>3</v>
      </c>
      <c r="V476">
        <v>3</v>
      </c>
      <c r="X476"/>
      <c r="Y476" s="3"/>
    </row>
    <row r="477" spans="1:25" ht="32.1" customHeight="1" x14ac:dyDescent="0.25">
      <c r="A477" s="1">
        <v>12774501</v>
      </c>
      <c r="B477" t="s">
        <v>412</v>
      </c>
      <c r="C477" t="s">
        <v>220</v>
      </c>
      <c r="D477" s="1">
        <v>2018</v>
      </c>
      <c r="E477" t="s">
        <v>26</v>
      </c>
      <c r="F477" t="s">
        <v>27</v>
      </c>
      <c r="G477" t="s">
        <v>35</v>
      </c>
      <c r="H477" t="s">
        <v>38</v>
      </c>
      <c r="I477" s="1" t="s">
        <v>30</v>
      </c>
      <c r="J477" s="1">
        <v>0.75</v>
      </c>
      <c r="K477" s="7">
        <v>1770.3</v>
      </c>
      <c r="L477">
        <v>48</v>
      </c>
      <c r="M477" s="7">
        <f>Tabell1[[#This Row],[Salgspris]]*Tabell1[[#This Row],[Totalt antall]]</f>
        <v>84974.399999999994</v>
      </c>
      <c r="N477">
        <v>21</v>
      </c>
      <c r="O477">
        <v>3</v>
      </c>
      <c r="P477">
        <v>3</v>
      </c>
      <c r="Q477">
        <v>3</v>
      </c>
      <c r="R477">
        <v>3</v>
      </c>
      <c r="S477">
        <v>3</v>
      </c>
      <c r="T477">
        <v>3</v>
      </c>
      <c r="U477">
        <v>6</v>
      </c>
      <c r="V477">
        <v>3</v>
      </c>
      <c r="X477"/>
      <c r="Y477" s="3"/>
    </row>
    <row r="478" spans="1:25" ht="32.1" customHeight="1" x14ac:dyDescent="0.25">
      <c r="A478" s="1">
        <v>12750701</v>
      </c>
      <c r="B478" t="s">
        <v>414</v>
      </c>
      <c r="C478" t="s">
        <v>415</v>
      </c>
      <c r="D478" s="1">
        <v>2018</v>
      </c>
      <c r="E478" t="s">
        <v>26</v>
      </c>
      <c r="F478" t="s">
        <v>27</v>
      </c>
      <c r="G478" t="s">
        <v>57</v>
      </c>
      <c r="H478" t="s">
        <v>29</v>
      </c>
      <c r="I478" s="1" t="s">
        <v>45</v>
      </c>
      <c r="J478" s="1">
        <v>0.75</v>
      </c>
      <c r="K478" s="7">
        <v>2096.6</v>
      </c>
      <c r="L478">
        <v>6</v>
      </c>
      <c r="M478" s="7">
        <f>Tabell1[[#This Row],[Salgspris]]*Tabell1[[#This Row],[Totalt antall]]</f>
        <v>12579.599999999999</v>
      </c>
      <c r="N478">
        <v>3</v>
      </c>
      <c r="O478">
        <v>1</v>
      </c>
      <c r="Q478">
        <v>1</v>
      </c>
      <c r="V478">
        <v>1</v>
      </c>
      <c r="X478"/>
      <c r="Y478" s="3" t="s">
        <v>416</v>
      </c>
    </row>
    <row r="479" spans="1:25" ht="32.1" customHeight="1" x14ac:dyDescent="0.25">
      <c r="A479" s="1">
        <v>12750401</v>
      </c>
      <c r="B479" t="s">
        <v>414</v>
      </c>
      <c r="C479" t="s">
        <v>417</v>
      </c>
      <c r="D479" s="1">
        <v>2018</v>
      </c>
      <c r="E479" t="s">
        <v>26</v>
      </c>
      <c r="F479" t="s">
        <v>27</v>
      </c>
      <c r="G479" t="s">
        <v>57</v>
      </c>
      <c r="I479" s="1" t="s">
        <v>45</v>
      </c>
      <c r="J479" s="1">
        <v>0.75</v>
      </c>
      <c r="K479" s="7">
        <v>989.2</v>
      </c>
      <c r="L479">
        <v>18</v>
      </c>
      <c r="M479" s="7">
        <f>Tabell1[[#This Row],[Salgspris]]*Tabell1[[#This Row],[Totalt antall]]</f>
        <v>17805.600000000002</v>
      </c>
      <c r="N479">
        <v>8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2</v>
      </c>
      <c r="V479">
        <v>1</v>
      </c>
      <c r="W479">
        <v>1</v>
      </c>
      <c r="X479"/>
      <c r="Y479" s="3" t="s">
        <v>416</v>
      </c>
    </row>
    <row r="480" spans="1:25" ht="32.1" customHeight="1" x14ac:dyDescent="0.25">
      <c r="A480" s="1">
        <v>12750601</v>
      </c>
      <c r="B480" t="s">
        <v>414</v>
      </c>
      <c r="C480" t="s">
        <v>97</v>
      </c>
      <c r="D480" s="1">
        <v>2018</v>
      </c>
      <c r="E480" t="s">
        <v>26</v>
      </c>
      <c r="F480" t="s">
        <v>27</v>
      </c>
      <c r="G480" t="s">
        <v>57</v>
      </c>
      <c r="H480" t="s">
        <v>29</v>
      </c>
      <c r="I480" s="1" t="s">
        <v>45</v>
      </c>
      <c r="J480" s="1">
        <v>0.75</v>
      </c>
      <c r="K480" s="7">
        <v>1974.9</v>
      </c>
      <c r="L480">
        <v>12</v>
      </c>
      <c r="M480" s="7">
        <f>Tabell1[[#This Row],[Salgspris]]*Tabell1[[#This Row],[Totalt antall]]</f>
        <v>23698.800000000003</v>
      </c>
      <c r="N480">
        <v>6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X480"/>
      <c r="Y480" s="3" t="s">
        <v>416</v>
      </c>
    </row>
    <row r="481" spans="1:25" ht="32.1" customHeight="1" x14ac:dyDescent="0.25">
      <c r="A481" s="1">
        <v>12750501</v>
      </c>
      <c r="B481" t="s">
        <v>414</v>
      </c>
      <c r="C481" t="s">
        <v>418</v>
      </c>
      <c r="D481" s="1">
        <v>2018</v>
      </c>
      <c r="E481" t="s">
        <v>26</v>
      </c>
      <c r="F481" t="s">
        <v>27</v>
      </c>
      <c r="G481" t="s">
        <v>57</v>
      </c>
      <c r="I481" s="1" t="s">
        <v>45</v>
      </c>
      <c r="J481" s="1">
        <v>0.75</v>
      </c>
      <c r="K481" s="7">
        <v>1298.2</v>
      </c>
      <c r="L481">
        <v>18</v>
      </c>
      <c r="M481" s="7">
        <f>Tabell1[[#This Row],[Salgspris]]*Tabell1[[#This Row],[Totalt antall]]</f>
        <v>23367.600000000002</v>
      </c>
      <c r="N481">
        <v>8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2</v>
      </c>
      <c r="V481">
        <v>1</v>
      </c>
      <c r="X481">
        <v>1</v>
      </c>
      <c r="Y481" s="3" t="s">
        <v>416</v>
      </c>
    </row>
    <row r="482" spans="1:25" ht="32.1" customHeight="1" x14ac:dyDescent="0.25">
      <c r="A482" s="1">
        <v>12750301</v>
      </c>
      <c r="B482" t="s">
        <v>414</v>
      </c>
      <c r="C482" t="s">
        <v>124</v>
      </c>
      <c r="D482" s="1">
        <v>2018</v>
      </c>
      <c r="E482" t="s">
        <v>26</v>
      </c>
      <c r="F482" t="s">
        <v>27</v>
      </c>
      <c r="G482" t="s">
        <v>116</v>
      </c>
      <c r="H482" t="s">
        <v>29</v>
      </c>
      <c r="I482" s="1" t="s">
        <v>45</v>
      </c>
      <c r="J482" s="1">
        <v>0.75</v>
      </c>
      <c r="K482" s="7">
        <v>752</v>
      </c>
      <c r="L482">
        <v>3</v>
      </c>
      <c r="M482" s="7">
        <f>Tabell1[[#This Row],[Salgspris]]*Tabell1[[#This Row],[Totalt antall]]</f>
        <v>2256</v>
      </c>
      <c r="N482">
        <v>2</v>
      </c>
      <c r="U482">
        <v>1</v>
      </c>
      <c r="X482"/>
      <c r="Y482" s="3" t="s">
        <v>416</v>
      </c>
    </row>
    <row r="483" spans="1:25" ht="32.1" customHeight="1" x14ac:dyDescent="0.25">
      <c r="A483" s="1">
        <v>12750201</v>
      </c>
      <c r="B483" t="s">
        <v>414</v>
      </c>
      <c r="C483" t="s">
        <v>52</v>
      </c>
      <c r="D483" s="1">
        <v>2018</v>
      </c>
      <c r="E483" t="s">
        <v>26</v>
      </c>
      <c r="F483" t="s">
        <v>27</v>
      </c>
      <c r="I483" s="1" t="s">
        <v>45</v>
      </c>
      <c r="J483" s="1">
        <v>0.75</v>
      </c>
      <c r="K483" s="7">
        <v>482.3</v>
      </c>
      <c r="L483">
        <v>120</v>
      </c>
      <c r="M483" s="7">
        <f>Tabell1[[#This Row],[Salgspris]]*Tabell1[[#This Row],[Totalt antall]]</f>
        <v>57876</v>
      </c>
      <c r="N483">
        <v>18</v>
      </c>
      <c r="O483">
        <v>12</v>
      </c>
      <c r="P483">
        <v>6</v>
      </c>
      <c r="Q483">
        <v>12</v>
      </c>
      <c r="R483">
        <v>6</v>
      </c>
      <c r="S483">
        <v>12</v>
      </c>
      <c r="T483">
        <v>6</v>
      </c>
      <c r="U483">
        <v>24</v>
      </c>
      <c r="V483">
        <v>12</v>
      </c>
      <c r="W483">
        <v>6</v>
      </c>
      <c r="X483">
        <v>6</v>
      </c>
      <c r="Y483" s="3" t="s">
        <v>416</v>
      </c>
    </row>
    <row r="484" spans="1:25" ht="32.1" customHeight="1" x14ac:dyDescent="0.25">
      <c r="A484" s="1">
        <v>12772801</v>
      </c>
      <c r="B484" t="s">
        <v>419</v>
      </c>
      <c r="C484" t="s">
        <v>420</v>
      </c>
      <c r="D484" s="1">
        <v>2018</v>
      </c>
      <c r="E484" t="s">
        <v>26</v>
      </c>
      <c r="F484" t="s">
        <v>27</v>
      </c>
      <c r="G484" t="s">
        <v>67</v>
      </c>
      <c r="H484" t="s">
        <v>29</v>
      </c>
      <c r="I484" s="1" t="s">
        <v>30</v>
      </c>
      <c r="J484" s="1">
        <v>0.75</v>
      </c>
      <c r="K484" s="7">
        <v>1200.2</v>
      </c>
      <c r="L484">
        <v>18</v>
      </c>
      <c r="M484" s="7">
        <f>Tabell1[[#This Row],[Salgspris]]*Tabell1[[#This Row],[Totalt antall]]</f>
        <v>21603.600000000002</v>
      </c>
      <c r="N484">
        <v>8</v>
      </c>
      <c r="O484">
        <v>2</v>
      </c>
      <c r="P484">
        <v>1</v>
      </c>
      <c r="Q484">
        <v>2</v>
      </c>
      <c r="R484">
        <v>1</v>
      </c>
      <c r="S484">
        <v>1</v>
      </c>
      <c r="T484">
        <v>1</v>
      </c>
      <c r="U484">
        <v>2</v>
      </c>
      <c r="X484"/>
      <c r="Y484" s="3" t="s">
        <v>421</v>
      </c>
    </row>
    <row r="485" spans="1:25" ht="32.1" customHeight="1" x14ac:dyDescent="0.25">
      <c r="A485" s="1">
        <v>12773301</v>
      </c>
      <c r="B485" t="s">
        <v>419</v>
      </c>
      <c r="C485" t="s">
        <v>343</v>
      </c>
      <c r="D485" s="1">
        <v>2018</v>
      </c>
      <c r="E485" t="s">
        <v>26</v>
      </c>
      <c r="F485" t="s">
        <v>27</v>
      </c>
      <c r="G485" t="s">
        <v>67</v>
      </c>
      <c r="H485" t="s">
        <v>29</v>
      </c>
      <c r="I485" s="1" t="s">
        <v>30</v>
      </c>
      <c r="J485" s="1">
        <v>0.75</v>
      </c>
      <c r="K485" s="7">
        <v>1450.5</v>
      </c>
      <c r="L485">
        <v>60</v>
      </c>
      <c r="M485" s="7">
        <f>Tabell1[[#This Row],[Salgspris]]*Tabell1[[#This Row],[Totalt antall]]</f>
        <v>87030</v>
      </c>
      <c r="N485">
        <v>24</v>
      </c>
      <c r="O485">
        <v>6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6</v>
      </c>
      <c r="X485"/>
      <c r="Y485" s="3" t="s">
        <v>421</v>
      </c>
    </row>
    <row r="486" spans="1:25" ht="32.1" customHeight="1" x14ac:dyDescent="0.25">
      <c r="A486" s="1">
        <v>12773001</v>
      </c>
      <c r="B486" t="s">
        <v>419</v>
      </c>
      <c r="C486" t="s">
        <v>83</v>
      </c>
      <c r="D486" s="1">
        <v>2018</v>
      </c>
      <c r="E486" t="s">
        <v>26</v>
      </c>
      <c r="F486" t="s">
        <v>27</v>
      </c>
      <c r="G486" t="s">
        <v>84</v>
      </c>
      <c r="H486" t="s">
        <v>38</v>
      </c>
      <c r="I486" s="1" t="s">
        <v>30</v>
      </c>
      <c r="J486" s="1">
        <v>0.75</v>
      </c>
      <c r="K486" s="7">
        <v>4942.8999999999996</v>
      </c>
      <c r="L486">
        <v>24</v>
      </c>
      <c r="M486" s="7">
        <f>Tabell1[[#This Row],[Salgspris]]*Tabell1[[#This Row],[Totalt antall]]</f>
        <v>118629.59999999999</v>
      </c>
      <c r="N486">
        <v>12</v>
      </c>
      <c r="O486">
        <v>2</v>
      </c>
      <c r="P486">
        <v>1</v>
      </c>
      <c r="Q486">
        <v>2</v>
      </c>
      <c r="R486">
        <v>2</v>
      </c>
      <c r="S486">
        <v>1</v>
      </c>
      <c r="T486">
        <v>2</v>
      </c>
      <c r="U486">
        <v>2</v>
      </c>
      <c r="X486"/>
      <c r="Y486" s="3" t="s">
        <v>421</v>
      </c>
    </row>
    <row r="487" spans="1:25" ht="32.1" customHeight="1" x14ac:dyDescent="0.25">
      <c r="A487" s="1">
        <v>12772701</v>
      </c>
      <c r="B487" t="s">
        <v>419</v>
      </c>
      <c r="C487" t="s">
        <v>422</v>
      </c>
      <c r="D487" s="1">
        <v>2018</v>
      </c>
      <c r="E487" t="s">
        <v>26</v>
      </c>
      <c r="F487" t="s">
        <v>27</v>
      </c>
      <c r="G487" t="s">
        <v>37</v>
      </c>
      <c r="H487" t="s">
        <v>29</v>
      </c>
      <c r="I487" s="1" t="s">
        <v>30</v>
      </c>
      <c r="J487" s="1">
        <v>0.75</v>
      </c>
      <c r="K487" s="7">
        <v>1152.4000000000001</v>
      </c>
      <c r="L487">
        <v>120</v>
      </c>
      <c r="M487" s="7">
        <f>Tabell1[[#This Row],[Salgspris]]*Tabell1[[#This Row],[Totalt antall]]</f>
        <v>138288</v>
      </c>
      <c r="N487">
        <v>24</v>
      </c>
      <c r="O487">
        <v>12</v>
      </c>
      <c r="P487">
        <v>12</v>
      </c>
      <c r="Q487">
        <v>12</v>
      </c>
      <c r="S487">
        <v>12</v>
      </c>
      <c r="T487">
        <v>12</v>
      </c>
      <c r="U487">
        <v>24</v>
      </c>
      <c r="V487">
        <v>12</v>
      </c>
      <c r="X487"/>
      <c r="Y487" s="3" t="s">
        <v>421</v>
      </c>
    </row>
    <row r="488" spans="1:25" ht="32.1" customHeight="1" x14ac:dyDescent="0.25">
      <c r="A488" s="1">
        <v>12773501</v>
      </c>
      <c r="B488" t="s">
        <v>423</v>
      </c>
      <c r="C488" t="s">
        <v>98</v>
      </c>
      <c r="D488" s="1">
        <v>2018</v>
      </c>
      <c r="E488" t="s">
        <v>26</v>
      </c>
      <c r="F488" t="s">
        <v>27</v>
      </c>
      <c r="G488" t="s">
        <v>99</v>
      </c>
      <c r="H488" t="s">
        <v>38</v>
      </c>
      <c r="I488" s="1" t="s">
        <v>45</v>
      </c>
      <c r="J488" s="1">
        <v>0.75</v>
      </c>
      <c r="K488" s="7">
        <v>6201.9</v>
      </c>
      <c r="L488">
        <v>3</v>
      </c>
      <c r="M488" s="7">
        <f>Tabell1[[#This Row],[Salgspris]]*Tabell1[[#This Row],[Totalt antall]]</f>
        <v>18605.699999999997</v>
      </c>
      <c r="N488">
        <v>2</v>
      </c>
      <c r="U488">
        <v>1</v>
      </c>
      <c r="X488"/>
      <c r="Y488" s="3" t="s">
        <v>424</v>
      </c>
    </row>
    <row r="489" spans="1:25" ht="32.1" customHeight="1" x14ac:dyDescent="0.25">
      <c r="A489" s="1">
        <v>12773201</v>
      </c>
      <c r="B489" t="s">
        <v>423</v>
      </c>
      <c r="C489" t="s">
        <v>105</v>
      </c>
      <c r="D489" s="1">
        <v>2018</v>
      </c>
      <c r="E489" t="s">
        <v>26</v>
      </c>
      <c r="F489" t="s">
        <v>27</v>
      </c>
      <c r="G489" t="s">
        <v>99</v>
      </c>
      <c r="H489" t="s">
        <v>29</v>
      </c>
      <c r="I489" s="1" t="s">
        <v>45</v>
      </c>
      <c r="J489" s="1">
        <v>0.75</v>
      </c>
      <c r="K489" s="7">
        <v>1348.1</v>
      </c>
      <c r="L489">
        <v>18</v>
      </c>
      <c r="M489" s="7">
        <f>Tabell1[[#This Row],[Salgspris]]*Tabell1[[#This Row],[Totalt antall]]</f>
        <v>24265.8</v>
      </c>
      <c r="N489">
        <v>9</v>
      </c>
      <c r="O489">
        <v>2</v>
      </c>
      <c r="Q489">
        <v>2</v>
      </c>
      <c r="U489">
        <v>3</v>
      </c>
      <c r="V489">
        <v>2</v>
      </c>
      <c r="X489"/>
      <c r="Y489" s="3" t="s">
        <v>424</v>
      </c>
    </row>
    <row r="490" spans="1:25" ht="32.1" customHeight="1" x14ac:dyDescent="0.25">
      <c r="A490" s="1">
        <v>12773701</v>
      </c>
      <c r="B490" t="s">
        <v>423</v>
      </c>
      <c r="C490" t="s">
        <v>101</v>
      </c>
      <c r="D490" s="1">
        <v>2018</v>
      </c>
      <c r="E490" t="s">
        <v>26</v>
      </c>
      <c r="F490" t="s">
        <v>27</v>
      </c>
      <c r="G490" t="s">
        <v>99</v>
      </c>
      <c r="H490" t="s">
        <v>29</v>
      </c>
      <c r="I490" s="1" t="s">
        <v>45</v>
      </c>
      <c r="J490" s="1">
        <v>0.75</v>
      </c>
      <c r="K490" s="7">
        <v>1635.3</v>
      </c>
      <c r="L490">
        <v>12</v>
      </c>
      <c r="M490" s="7">
        <f>Tabell1[[#This Row],[Salgspris]]*Tabell1[[#This Row],[Totalt antall]]</f>
        <v>19623.599999999999</v>
      </c>
      <c r="N490">
        <v>6</v>
      </c>
      <c r="O490">
        <v>2</v>
      </c>
      <c r="Q490">
        <v>2</v>
      </c>
      <c r="U490">
        <v>2</v>
      </c>
      <c r="X490"/>
      <c r="Y490" s="3" t="s">
        <v>424</v>
      </c>
    </row>
    <row r="491" spans="1:25" ht="32.1" customHeight="1" x14ac:dyDescent="0.25">
      <c r="A491" s="1">
        <v>12773101</v>
      </c>
      <c r="B491" t="s">
        <v>423</v>
      </c>
      <c r="C491" t="s">
        <v>425</v>
      </c>
      <c r="D491" s="1">
        <v>2018</v>
      </c>
      <c r="E491" t="s">
        <v>26</v>
      </c>
      <c r="F491" t="s">
        <v>27</v>
      </c>
      <c r="G491" t="s">
        <v>99</v>
      </c>
      <c r="H491" t="s">
        <v>29</v>
      </c>
      <c r="I491" s="1" t="s">
        <v>45</v>
      </c>
      <c r="J491" s="1">
        <v>0.75</v>
      </c>
      <c r="K491" s="7">
        <v>1079.4000000000001</v>
      </c>
      <c r="L491">
        <v>24</v>
      </c>
      <c r="M491" s="7">
        <f>Tabell1[[#This Row],[Salgspris]]*Tabell1[[#This Row],[Totalt antall]]</f>
        <v>25905.600000000002</v>
      </c>
      <c r="N491">
        <v>12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2</v>
      </c>
      <c r="X491"/>
      <c r="Y491" s="3" t="s">
        <v>424</v>
      </c>
    </row>
    <row r="492" spans="1:25" ht="32.1" customHeight="1" x14ac:dyDescent="0.25">
      <c r="A492" s="1">
        <v>12773401</v>
      </c>
      <c r="B492" t="s">
        <v>423</v>
      </c>
      <c r="C492" t="s">
        <v>90</v>
      </c>
      <c r="D492" s="1">
        <v>2018</v>
      </c>
      <c r="E492" t="s">
        <v>26</v>
      </c>
      <c r="F492" t="s">
        <v>27</v>
      </c>
      <c r="G492" t="s">
        <v>91</v>
      </c>
      <c r="H492" t="s">
        <v>38</v>
      </c>
      <c r="I492" s="1" t="s">
        <v>45</v>
      </c>
      <c r="J492" s="1">
        <v>0.75</v>
      </c>
      <c r="K492" s="7">
        <v>4776.8999999999996</v>
      </c>
      <c r="L492">
        <v>6</v>
      </c>
      <c r="M492" s="7">
        <f>Tabell1[[#This Row],[Salgspris]]*Tabell1[[#This Row],[Totalt antall]]</f>
        <v>28661.399999999998</v>
      </c>
      <c r="N492">
        <v>3</v>
      </c>
      <c r="O492">
        <v>1</v>
      </c>
      <c r="Q492">
        <v>1</v>
      </c>
      <c r="V492">
        <v>1</v>
      </c>
      <c r="X492"/>
      <c r="Y492" s="3" t="s">
        <v>424</v>
      </c>
    </row>
    <row r="493" spans="1:25" ht="32.1" customHeight="1" x14ac:dyDescent="0.25">
      <c r="A493" s="1">
        <v>12773601</v>
      </c>
      <c r="B493" t="s">
        <v>423</v>
      </c>
      <c r="C493" t="s">
        <v>426</v>
      </c>
      <c r="D493" s="1">
        <v>2018</v>
      </c>
      <c r="E493" t="s">
        <v>26</v>
      </c>
      <c r="F493" t="s">
        <v>27</v>
      </c>
      <c r="G493" t="s">
        <v>91</v>
      </c>
      <c r="H493" t="s">
        <v>38</v>
      </c>
      <c r="I493" s="1" t="s">
        <v>45</v>
      </c>
      <c r="J493" s="1">
        <v>0.75</v>
      </c>
      <c r="K493" s="7">
        <v>8110.9</v>
      </c>
      <c r="L493">
        <v>6</v>
      </c>
      <c r="M493" s="7">
        <f>Tabell1[[#This Row],[Salgspris]]*Tabell1[[#This Row],[Totalt antall]]</f>
        <v>48665.399999999994</v>
      </c>
      <c r="N493">
        <v>3</v>
      </c>
      <c r="O493">
        <v>1</v>
      </c>
      <c r="Q493">
        <v>1</v>
      </c>
      <c r="U493">
        <v>1</v>
      </c>
      <c r="X493"/>
      <c r="Y493" s="3" t="s">
        <v>424</v>
      </c>
    </row>
    <row r="494" spans="1:25" ht="32.1" customHeight="1" x14ac:dyDescent="0.25">
      <c r="A494" s="1">
        <v>12742801</v>
      </c>
      <c r="B494" t="s">
        <v>427</v>
      </c>
      <c r="C494" t="s">
        <v>428</v>
      </c>
      <c r="D494" s="1">
        <v>2018</v>
      </c>
      <c r="E494" t="s">
        <v>26</v>
      </c>
      <c r="F494" t="s">
        <v>27</v>
      </c>
      <c r="G494" t="s">
        <v>429</v>
      </c>
      <c r="H494" t="s">
        <v>38</v>
      </c>
      <c r="I494" s="1" t="s">
        <v>30</v>
      </c>
      <c r="J494" s="1">
        <v>0.75</v>
      </c>
      <c r="K494" s="7">
        <v>1900.3</v>
      </c>
      <c r="L494">
        <v>96</v>
      </c>
      <c r="M494" s="7">
        <f>Tabell1[[#This Row],[Salgspris]]*Tabell1[[#This Row],[Totalt antall]]</f>
        <v>182428.79999999999</v>
      </c>
      <c r="N494">
        <v>30</v>
      </c>
      <c r="O494">
        <v>9</v>
      </c>
      <c r="P494">
        <v>6</v>
      </c>
      <c r="Q494">
        <v>9</v>
      </c>
      <c r="R494">
        <v>6</v>
      </c>
      <c r="S494">
        <v>6</v>
      </c>
      <c r="T494">
        <v>6</v>
      </c>
      <c r="U494">
        <v>12</v>
      </c>
      <c r="V494">
        <v>6</v>
      </c>
      <c r="W494">
        <v>3</v>
      </c>
      <c r="X494">
        <v>3</v>
      </c>
      <c r="Y494" s="3"/>
    </row>
    <row r="495" spans="1:25" ht="32.1" customHeight="1" x14ac:dyDescent="0.25">
      <c r="A495" s="1">
        <v>12742601</v>
      </c>
      <c r="B495" t="s">
        <v>427</v>
      </c>
      <c r="C495" t="s">
        <v>222</v>
      </c>
      <c r="D495" s="1">
        <v>2018</v>
      </c>
      <c r="E495" t="s">
        <v>26</v>
      </c>
      <c r="F495" t="s">
        <v>27</v>
      </c>
      <c r="G495" t="s">
        <v>67</v>
      </c>
      <c r="H495" t="s">
        <v>29</v>
      </c>
      <c r="I495" s="1" t="s">
        <v>30</v>
      </c>
      <c r="J495" s="1">
        <v>0.75</v>
      </c>
      <c r="K495" s="7">
        <v>1250.3</v>
      </c>
      <c r="L495">
        <v>72</v>
      </c>
      <c r="M495" s="7">
        <f>Tabell1[[#This Row],[Salgspris]]*Tabell1[[#This Row],[Totalt antall]]</f>
        <v>90021.599999999991</v>
      </c>
      <c r="N495">
        <v>18</v>
      </c>
      <c r="O495">
        <v>6</v>
      </c>
      <c r="P495">
        <v>3</v>
      </c>
      <c r="Q495">
        <v>6</v>
      </c>
      <c r="R495">
        <v>6</v>
      </c>
      <c r="S495">
        <v>3</v>
      </c>
      <c r="T495">
        <v>3</v>
      </c>
      <c r="U495">
        <v>18</v>
      </c>
      <c r="V495">
        <v>6</v>
      </c>
      <c r="X495">
        <v>3</v>
      </c>
      <c r="Y495" s="3"/>
    </row>
    <row r="496" spans="1:25" ht="32.1" customHeight="1" x14ac:dyDescent="0.25">
      <c r="A496" s="1">
        <v>12742701</v>
      </c>
      <c r="B496" t="s">
        <v>427</v>
      </c>
      <c r="C496" t="s">
        <v>430</v>
      </c>
      <c r="D496" s="1">
        <v>2018</v>
      </c>
      <c r="E496" t="s">
        <v>26</v>
      </c>
      <c r="F496" t="s">
        <v>27</v>
      </c>
      <c r="G496" t="s">
        <v>35</v>
      </c>
      <c r="H496" t="s">
        <v>29</v>
      </c>
      <c r="I496" s="1" t="s">
        <v>30</v>
      </c>
      <c r="J496" s="1">
        <v>0.75</v>
      </c>
      <c r="K496" s="7">
        <v>1300.3</v>
      </c>
      <c r="L496">
        <v>72</v>
      </c>
      <c r="M496" s="7">
        <f>Tabell1[[#This Row],[Salgspris]]*Tabell1[[#This Row],[Totalt antall]]</f>
        <v>93621.599999999991</v>
      </c>
      <c r="N496">
        <v>18</v>
      </c>
      <c r="O496">
        <v>6</v>
      </c>
      <c r="P496">
        <v>3</v>
      </c>
      <c r="Q496">
        <v>6</v>
      </c>
      <c r="R496">
        <v>6</v>
      </c>
      <c r="S496">
        <v>3</v>
      </c>
      <c r="T496">
        <v>3</v>
      </c>
      <c r="U496">
        <v>18</v>
      </c>
      <c r="V496">
        <v>6</v>
      </c>
      <c r="W496">
        <v>3</v>
      </c>
      <c r="X496"/>
      <c r="Y496" s="3"/>
    </row>
    <row r="497" spans="1:25" ht="32.1" customHeight="1" x14ac:dyDescent="0.25">
      <c r="A497" s="1">
        <v>12743001</v>
      </c>
      <c r="B497" t="s">
        <v>427</v>
      </c>
      <c r="C497" t="s">
        <v>431</v>
      </c>
      <c r="D497" s="1">
        <v>2018</v>
      </c>
      <c r="E497" t="s">
        <v>26</v>
      </c>
      <c r="F497" t="s">
        <v>27</v>
      </c>
      <c r="G497" t="s">
        <v>35</v>
      </c>
      <c r="H497" t="s">
        <v>38</v>
      </c>
      <c r="I497" s="1" t="s">
        <v>30</v>
      </c>
      <c r="J497" s="1">
        <v>0.75</v>
      </c>
      <c r="K497" s="7">
        <v>2450.3000000000002</v>
      </c>
      <c r="L497">
        <v>48</v>
      </c>
      <c r="M497" s="7">
        <f>Tabell1[[#This Row],[Salgspris]]*Tabell1[[#This Row],[Totalt antall]]</f>
        <v>117614.40000000001</v>
      </c>
      <c r="N497">
        <v>18</v>
      </c>
      <c r="O497">
        <v>6</v>
      </c>
      <c r="Q497">
        <v>3</v>
      </c>
      <c r="R497">
        <v>6</v>
      </c>
      <c r="T497">
        <v>3</v>
      </c>
      <c r="U497">
        <v>9</v>
      </c>
      <c r="V497">
        <v>3</v>
      </c>
      <c r="X497"/>
      <c r="Y497" s="3"/>
    </row>
    <row r="498" spans="1:25" ht="32.1" customHeight="1" x14ac:dyDescent="0.25">
      <c r="A498" s="1">
        <v>12742901</v>
      </c>
      <c r="B498" t="s">
        <v>427</v>
      </c>
      <c r="C498" t="s">
        <v>316</v>
      </c>
      <c r="D498" s="1">
        <v>2018</v>
      </c>
      <c r="E498" t="s">
        <v>26</v>
      </c>
      <c r="F498" t="s">
        <v>27</v>
      </c>
      <c r="G498" t="s">
        <v>37</v>
      </c>
      <c r="H498" t="s">
        <v>38</v>
      </c>
      <c r="I498" s="1" t="s">
        <v>30</v>
      </c>
      <c r="J498" s="1">
        <v>0.75</v>
      </c>
      <c r="K498" s="7">
        <v>6792.3</v>
      </c>
      <c r="L498">
        <v>6</v>
      </c>
      <c r="M498" s="7">
        <f>Tabell1[[#This Row],[Salgspris]]*Tabell1[[#This Row],[Totalt antall]]</f>
        <v>40753.800000000003</v>
      </c>
      <c r="N498">
        <v>3</v>
      </c>
      <c r="O498">
        <v>1</v>
      </c>
      <c r="Q498">
        <v>1</v>
      </c>
      <c r="U498">
        <v>1</v>
      </c>
      <c r="X498"/>
      <c r="Y498" s="3" t="s">
        <v>31</v>
      </c>
    </row>
    <row r="499" spans="1:25" ht="32.1" customHeight="1" x14ac:dyDescent="0.25">
      <c r="A499" s="1">
        <v>12742501</v>
      </c>
      <c r="B499" t="s">
        <v>427</v>
      </c>
      <c r="C499" t="s">
        <v>432</v>
      </c>
      <c r="D499" s="1">
        <v>2018</v>
      </c>
      <c r="E499" t="s">
        <v>26</v>
      </c>
      <c r="F499" t="s">
        <v>27</v>
      </c>
      <c r="G499" t="s">
        <v>37</v>
      </c>
      <c r="H499" t="s">
        <v>29</v>
      </c>
      <c r="I499" s="1" t="s">
        <v>30</v>
      </c>
      <c r="J499" s="1">
        <v>0.75</v>
      </c>
      <c r="K499" s="7">
        <v>1190.3</v>
      </c>
      <c r="L499">
        <v>72</v>
      </c>
      <c r="M499" s="7">
        <f>Tabell1[[#This Row],[Salgspris]]*Tabell1[[#This Row],[Totalt antall]]</f>
        <v>85701.599999999991</v>
      </c>
      <c r="N499">
        <v>30</v>
      </c>
      <c r="O499">
        <v>6</v>
      </c>
      <c r="P499">
        <v>3</v>
      </c>
      <c r="Q499">
        <v>6</v>
      </c>
      <c r="R499">
        <v>6</v>
      </c>
      <c r="S499">
        <v>3</v>
      </c>
      <c r="T499">
        <v>3</v>
      </c>
      <c r="U499">
        <v>9</v>
      </c>
      <c r="V499">
        <v>6</v>
      </c>
      <c r="X499"/>
      <c r="Y499" s="3"/>
    </row>
    <row r="500" spans="1:25" ht="32.1" customHeight="1" x14ac:dyDescent="0.25">
      <c r="A500" s="1">
        <v>12738901</v>
      </c>
      <c r="B500" t="s">
        <v>433</v>
      </c>
      <c r="C500" t="s">
        <v>52</v>
      </c>
      <c r="D500" s="1">
        <v>2018</v>
      </c>
      <c r="E500" t="s">
        <v>26</v>
      </c>
      <c r="F500" t="s">
        <v>27</v>
      </c>
      <c r="I500" s="1" t="s">
        <v>45</v>
      </c>
      <c r="J500" s="1">
        <v>0.75</v>
      </c>
      <c r="K500" s="7">
        <v>366.5</v>
      </c>
      <c r="L500">
        <v>180</v>
      </c>
      <c r="M500" s="7">
        <f>Tabell1[[#This Row],[Salgspris]]*Tabell1[[#This Row],[Totalt antall]]</f>
        <v>65970</v>
      </c>
      <c r="N500">
        <v>48</v>
      </c>
      <c r="O500">
        <v>18</v>
      </c>
      <c r="P500">
        <v>12</v>
      </c>
      <c r="Q500">
        <v>18</v>
      </c>
      <c r="R500">
        <v>12</v>
      </c>
      <c r="S500">
        <v>12</v>
      </c>
      <c r="T500">
        <v>12</v>
      </c>
      <c r="U500">
        <v>12</v>
      </c>
      <c r="V500">
        <v>24</v>
      </c>
      <c r="W500">
        <v>6</v>
      </c>
      <c r="X500">
        <v>6</v>
      </c>
      <c r="Y500" s="3"/>
    </row>
    <row r="501" spans="1:25" ht="32.1" customHeight="1" x14ac:dyDescent="0.25">
      <c r="A501" s="1">
        <v>12738601</v>
      </c>
      <c r="B501" t="s">
        <v>433</v>
      </c>
      <c r="C501" t="s">
        <v>434</v>
      </c>
      <c r="D501" s="1">
        <v>2018</v>
      </c>
      <c r="E501" t="s">
        <v>26</v>
      </c>
      <c r="F501" t="s">
        <v>27</v>
      </c>
      <c r="G501" t="s">
        <v>429</v>
      </c>
      <c r="H501" t="s">
        <v>29</v>
      </c>
      <c r="I501" s="1" t="s">
        <v>30</v>
      </c>
      <c r="J501" s="1">
        <v>0.75</v>
      </c>
      <c r="K501" s="7">
        <v>710.5</v>
      </c>
      <c r="L501">
        <v>96</v>
      </c>
      <c r="M501" s="7">
        <f>Tabell1[[#This Row],[Salgspris]]*Tabell1[[#This Row],[Totalt antall]]</f>
        <v>68208</v>
      </c>
      <c r="N501">
        <v>36</v>
      </c>
      <c r="O501">
        <v>12</v>
      </c>
      <c r="P501">
        <v>6</v>
      </c>
      <c r="Q501">
        <v>12</v>
      </c>
      <c r="R501">
        <v>6</v>
      </c>
      <c r="S501">
        <v>6</v>
      </c>
      <c r="T501">
        <v>6</v>
      </c>
      <c r="U501">
        <v>6</v>
      </c>
      <c r="V501">
        <v>6</v>
      </c>
      <c r="X501"/>
      <c r="Y501" s="3"/>
    </row>
    <row r="502" spans="1:25" ht="32.1" customHeight="1" x14ac:dyDescent="0.25">
      <c r="A502" s="1">
        <v>12738701</v>
      </c>
      <c r="B502" t="s">
        <v>433</v>
      </c>
      <c r="C502" t="s">
        <v>210</v>
      </c>
      <c r="D502" s="1">
        <v>2018</v>
      </c>
      <c r="E502" t="s">
        <v>26</v>
      </c>
      <c r="F502" t="s">
        <v>27</v>
      </c>
      <c r="G502" t="s">
        <v>120</v>
      </c>
      <c r="H502" t="s">
        <v>38</v>
      </c>
      <c r="I502" s="1" t="s">
        <v>30</v>
      </c>
      <c r="J502" s="1">
        <v>0.75</v>
      </c>
      <c r="K502" s="7">
        <v>1036.5</v>
      </c>
      <c r="L502">
        <v>60</v>
      </c>
      <c r="M502" s="7">
        <f>Tabell1[[#This Row],[Salgspris]]*Tabell1[[#This Row],[Totalt antall]]</f>
        <v>62190</v>
      </c>
      <c r="N502">
        <v>24</v>
      </c>
      <c r="O502">
        <v>6</v>
      </c>
      <c r="P502">
        <v>6</v>
      </c>
      <c r="Q502">
        <v>6</v>
      </c>
      <c r="S502">
        <v>6</v>
      </c>
      <c r="T502">
        <v>6</v>
      </c>
      <c r="V502">
        <v>6</v>
      </c>
      <c r="X502"/>
      <c r="Y502" s="3"/>
    </row>
    <row r="503" spans="1:25" ht="32.1" customHeight="1" x14ac:dyDescent="0.25">
      <c r="A503" s="1">
        <v>12738501</v>
      </c>
      <c r="B503" t="s">
        <v>433</v>
      </c>
      <c r="C503" t="s">
        <v>435</v>
      </c>
      <c r="D503" s="1">
        <v>2018</v>
      </c>
      <c r="E503" t="s">
        <v>26</v>
      </c>
      <c r="F503" t="s">
        <v>27</v>
      </c>
      <c r="G503" t="s">
        <v>123</v>
      </c>
      <c r="H503" t="s">
        <v>29</v>
      </c>
      <c r="I503" s="1" t="s">
        <v>30</v>
      </c>
      <c r="J503" s="1">
        <v>0.75</v>
      </c>
      <c r="K503" s="7">
        <v>705.4</v>
      </c>
      <c r="L503">
        <v>120</v>
      </c>
      <c r="M503" s="7">
        <f>Tabell1[[#This Row],[Salgspris]]*Tabell1[[#This Row],[Totalt antall]]</f>
        <v>84648</v>
      </c>
      <c r="N503">
        <v>36</v>
      </c>
      <c r="O503">
        <v>12</v>
      </c>
      <c r="P503">
        <v>12</v>
      </c>
      <c r="Q503">
        <v>12</v>
      </c>
      <c r="S503">
        <v>12</v>
      </c>
      <c r="T503">
        <v>12</v>
      </c>
      <c r="U503">
        <v>12</v>
      </c>
      <c r="V503">
        <v>12</v>
      </c>
      <c r="X503"/>
      <c r="Y503" s="3"/>
    </row>
    <row r="504" spans="1:25" ht="32.1" customHeight="1" x14ac:dyDescent="0.25">
      <c r="A504" s="1">
        <v>11596301</v>
      </c>
      <c r="B504" t="s">
        <v>433</v>
      </c>
      <c r="C504" t="s">
        <v>436</v>
      </c>
      <c r="D504" s="1">
        <v>2018</v>
      </c>
      <c r="E504" t="s">
        <v>26</v>
      </c>
      <c r="F504" t="s">
        <v>27</v>
      </c>
      <c r="G504" t="s">
        <v>436</v>
      </c>
      <c r="I504" s="1" t="s">
        <v>30</v>
      </c>
      <c r="J504" s="1">
        <v>0.75</v>
      </c>
      <c r="K504" s="7">
        <v>418.4</v>
      </c>
      <c r="L504">
        <v>480</v>
      </c>
      <c r="M504" s="7">
        <f>Tabell1[[#This Row],[Salgspris]]*Tabell1[[#This Row],[Totalt antall]]</f>
        <v>200832</v>
      </c>
      <c r="N504">
        <v>84</v>
      </c>
      <c r="O504">
        <v>48</v>
      </c>
      <c r="P504">
        <v>36</v>
      </c>
      <c r="Q504">
        <v>48</v>
      </c>
      <c r="R504">
        <v>24</v>
      </c>
      <c r="S504">
        <v>36</v>
      </c>
      <c r="T504">
        <v>36</v>
      </c>
      <c r="U504">
        <v>84</v>
      </c>
      <c r="V504">
        <v>60</v>
      </c>
      <c r="W504">
        <v>12</v>
      </c>
      <c r="X504">
        <v>12</v>
      </c>
      <c r="Y504" s="3"/>
    </row>
    <row r="505" spans="1:25" ht="32.1" customHeight="1" x14ac:dyDescent="0.25">
      <c r="A505" s="1">
        <v>12738801</v>
      </c>
      <c r="B505" t="s">
        <v>433</v>
      </c>
      <c r="C505" t="s">
        <v>437</v>
      </c>
      <c r="D505" s="1">
        <v>2018</v>
      </c>
      <c r="E505" t="s">
        <v>26</v>
      </c>
      <c r="F505" t="s">
        <v>27</v>
      </c>
      <c r="G505" t="s">
        <v>176</v>
      </c>
      <c r="H505" t="s">
        <v>29</v>
      </c>
      <c r="I505" s="1" t="s">
        <v>30</v>
      </c>
      <c r="J505" s="1">
        <v>0.75</v>
      </c>
      <c r="K505" s="7">
        <v>556.5</v>
      </c>
      <c r="L505">
        <v>120</v>
      </c>
      <c r="M505" s="7">
        <f>Tabell1[[#This Row],[Salgspris]]*Tabell1[[#This Row],[Totalt antall]]</f>
        <v>66780</v>
      </c>
      <c r="N505">
        <v>30</v>
      </c>
      <c r="O505">
        <v>12</v>
      </c>
      <c r="P505">
        <v>12</v>
      </c>
      <c r="Q505">
        <v>12</v>
      </c>
      <c r="S505">
        <v>12</v>
      </c>
      <c r="T505">
        <v>12</v>
      </c>
      <c r="U505">
        <v>18</v>
      </c>
      <c r="V505">
        <v>12</v>
      </c>
      <c r="X505"/>
      <c r="Y505" s="3"/>
    </row>
    <row r="506" spans="1:25" ht="32.1" customHeight="1" x14ac:dyDescent="0.25">
      <c r="A506" s="1">
        <v>12741101</v>
      </c>
      <c r="B506" t="s">
        <v>438</v>
      </c>
      <c r="C506" t="s">
        <v>413</v>
      </c>
      <c r="D506" s="1">
        <v>2018</v>
      </c>
      <c r="E506" t="s">
        <v>26</v>
      </c>
      <c r="F506" t="s">
        <v>27</v>
      </c>
      <c r="G506" t="s">
        <v>35</v>
      </c>
      <c r="H506" t="s">
        <v>38</v>
      </c>
      <c r="I506" s="1" t="s">
        <v>30</v>
      </c>
      <c r="J506" s="1">
        <v>0.75</v>
      </c>
      <c r="K506" s="7">
        <v>2269.3000000000002</v>
      </c>
      <c r="L506">
        <v>12</v>
      </c>
      <c r="M506" s="7">
        <f>Tabell1[[#This Row],[Salgspris]]*Tabell1[[#This Row],[Totalt antall]]</f>
        <v>27231.600000000002</v>
      </c>
      <c r="N506">
        <v>6</v>
      </c>
      <c r="O506">
        <v>2</v>
      </c>
      <c r="Q506">
        <v>2</v>
      </c>
      <c r="U506">
        <v>2</v>
      </c>
      <c r="X506"/>
      <c r="Y506" s="3"/>
    </row>
    <row r="507" spans="1:25" ht="32.1" customHeight="1" x14ac:dyDescent="0.25">
      <c r="A507" s="1">
        <v>12741401</v>
      </c>
      <c r="B507" t="s">
        <v>438</v>
      </c>
      <c r="C507" t="s">
        <v>439</v>
      </c>
      <c r="D507" s="1">
        <v>2018</v>
      </c>
      <c r="E507" t="s">
        <v>26</v>
      </c>
      <c r="F507" t="s">
        <v>27</v>
      </c>
      <c r="G507" t="s">
        <v>35</v>
      </c>
      <c r="H507" t="s">
        <v>29</v>
      </c>
      <c r="I507" s="1" t="s">
        <v>30</v>
      </c>
      <c r="J507" s="1">
        <v>0.75</v>
      </c>
      <c r="K507" s="7">
        <v>914.2</v>
      </c>
      <c r="L507">
        <v>84</v>
      </c>
      <c r="M507" s="7">
        <f>Tabell1[[#This Row],[Salgspris]]*Tabell1[[#This Row],[Totalt antall]]</f>
        <v>76792.800000000003</v>
      </c>
      <c r="N507">
        <v>18</v>
      </c>
      <c r="O507">
        <v>6</v>
      </c>
      <c r="P507">
        <v>6</v>
      </c>
      <c r="Q507">
        <v>6</v>
      </c>
      <c r="R507">
        <v>6</v>
      </c>
      <c r="S507">
        <v>6</v>
      </c>
      <c r="T507">
        <v>6</v>
      </c>
      <c r="U507">
        <v>12</v>
      </c>
      <c r="V507">
        <v>6</v>
      </c>
      <c r="W507">
        <v>6</v>
      </c>
      <c r="X507">
        <v>6</v>
      </c>
      <c r="Y507" s="3"/>
    </row>
    <row r="508" spans="1:25" ht="32.1" customHeight="1" x14ac:dyDescent="0.25">
      <c r="A508" s="1">
        <v>12776701</v>
      </c>
      <c r="B508" t="s">
        <v>438</v>
      </c>
      <c r="C508" t="s">
        <v>440</v>
      </c>
      <c r="D508" s="1">
        <v>2018</v>
      </c>
      <c r="E508" t="s">
        <v>26</v>
      </c>
      <c r="F508" t="s">
        <v>27</v>
      </c>
      <c r="G508" t="s">
        <v>35</v>
      </c>
      <c r="I508" s="1" t="s">
        <v>30</v>
      </c>
      <c r="J508" s="1">
        <v>0.75</v>
      </c>
      <c r="K508" s="7">
        <v>669.9</v>
      </c>
      <c r="L508">
        <v>120</v>
      </c>
      <c r="M508" s="7">
        <f>Tabell1[[#This Row],[Salgspris]]*Tabell1[[#This Row],[Totalt antall]]</f>
        <v>80388</v>
      </c>
      <c r="N508">
        <v>24</v>
      </c>
      <c r="O508">
        <v>12</v>
      </c>
      <c r="P508">
        <v>6</v>
      </c>
      <c r="Q508">
        <v>12</v>
      </c>
      <c r="R508">
        <v>6</v>
      </c>
      <c r="S508">
        <v>6</v>
      </c>
      <c r="T508">
        <v>12</v>
      </c>
      <c r="U508">
        <v>24</v>
      </c>
      <c r="V508">
        <v>6</v>
      </c>
      <c r="W508">
        <v>6</v>
      </c>
      <c r="X508">
        <v>6</v>
      </c>
      <c r="Y508" s="3"/>
    </row>
    <row r="509" spans="1:25" ht="32.1" customHeight="1" x14ac:dyDescent="0.25">
      <c r="A509" s="1">
        <v>12776801</v>
      </c>
      <c r="B509" t="s">
        <v>438</v>
      </c>
      <c r="C509" t="s">
        <v>219</v>
      </c>
      <c r="D509" s="1">
        <v>2018</v>
      </c>
      <c r="E509" t="s">
        <v>26</v>
      </c>
      <c r="F509" t="s">
        <v>27</v>
      </c>
      <c r="G509" t="s">
        <v>35</v>
      </c>
      <c r="I509" s="1" t="s">
        <v>30</v>
      </c>
      <c r="J509" s="1">
        <v>0.75</v>
      </c>
      <c r="K509" s="7">
        <v>625.4</v>
      </c>
      <c r="L509">
        <v>60</v>
      </c>
      <c r="M509" s="7">
        <f>Tabell1[[#This Row],[Salgspris]]*Tabell1[[#This Row],[Totalt antall]]</f>
        <v>37524</v>
      </c>
      <c r="N509">
        <v>24</v>
      </c>
      <c r="O509">
        <v>6</v>
      </c>
      <c r="P509">
        <v>6</v>
      </c>
      <c r="Q509">
        <v>6</v>
      </c>
      <c r="R509">
        <v>6</v>
      </c>
      <c r="S509">
        <v>6</v>
      </c>
      <c r="T509">
        <v>6</v>
      </c>
      <c r="X509"/>
      <c r="Y509" s="3"/>
    </row>
    <row r="510" spans="1:25" ht="32.1" customHeight="1" x14ac:dyDescent="0.25">
      <c r="A510" s="1">
        <v>12741301</v>
      </c>
      <c r="B510" t="s">
        <v>438</v>
      </c>
      <c r="C510" t="s">
        <v>226</v>
      </c>
      <c r="D510" s="1">
        <v>2018</v>
      </c>
      <c r="E510" t="s">
        <v>26</v>
      </c>
      <c r="F510" t="s">
        <v>27</v>
      </c>
      <c r="G510" t="s">
        <v>35</v>
      </c>
      <c r="H510" t="s">
        <v>29</v>
      </c>
      <c r="I510" s="1" t="s">
        <v>30</v>
      </c>
      <c r="J510" s="1">
        <v>0.75</v>
      </c>
      <c r="K510" s="7">
        <v>936.5</v>
      </c>
      <c r="L510">
        <v>60</v>
      </c>
      <c r="M510" s="7">
        <f>Tabell1[[#This Row],[Salgspris]]*Tabell1[[#This Row],[Totalt antall]]</f>
        <v>56190</v>
      </c>
      <c r="N510">
        <v>24</v>
      </c>
      <c r="O510">
        <v>6</v>
      </c>
      <c r="P510">
        <v>6</v>
      </c>
      <c r="Q510">
        <v>6</v>
      </c>
      <c r="R510">
        <v>6</v>
      </c>
      <c r="S510">
        <v>6</v>
      </c>
      <c r="T510">
        <v>6</v>
      </c>
      <c r="X510"/>
      <c r="Y510" s="3"/>
    </row>
    <row r="511" spans="1:25" ht="32.1" customHeight="1" x14ac:dyDescent="0.25">
      <c r="A511" s="1">
        <v>12741201</v>
      </c>
      <c r="B511" t="s">
        <v>438</v>
      </c>
      <c r="C511" t="s">
        <v>227</v>
      </c>
      <c r="D511" s="1">
        <v>2018</v>
      </c>
      <c r="E511" t="s">
        <v>26</v>
      </c>
      <c r="F511" t="s">
        <v>27</v>
      </c>
      <c r="G511" t="s">
        <v>35</v>
      </c>
      <c r="H511" t="s">
        <v>38</v>
      </c>
      <c r="I511" s="1" t="s">
        <v>30</v>
      </c>
      <c r="J511" s="1">
        <v>0.75</v>
      </c>
      <c r="K511" s="7">
        <v>2047.1</v>
      </c>
      <c r="L511">
        <v>24</v>
      </c>
      <c r="M511" s="7">
        <f>Tabell1[[#This Row],[Salgspris]]*Tabell1[[#This Row],[Totalt antall]]</f>
        <v>49130.399999999994</v>
      </c>
      <c r="N511">
        <v>12</v>
      </c>
      <c r="O511">
        <v>3</v>
      </c>
      <c r="Q511">
        <v>3</v>
      </c>
      <c r="U511">
        <v>3</v>
      </c>
      <c r="V511">
        <v>3</v>
      </c>
      <c r="X511"/>
      <c r="Y511" s="3"/>
    </row>
    <row r="512" spans="1:25" ht="32.1" customHeight="1" x14ac:dyDescent="0.25">
      <c r="A512" s="1">
        <v>12774401</v>
      </c>
      <c r="B512" t="s">
        <v>441</v>
      </c>
      <c r="C512" t="s">
        <v>413</v>
      </c>
      <c r="D512" s="1">
        <v>2018</v>
      </c>
      <c r="E512" t="s">
        <v>26</v>
      </c>
      <c r="F512" t="s">
        <v>27</v>
      </c>
      <c r="G512" t="s">
        <v>35</v>
      </c>
      <c r="H512" t="s">
        <v>38</v>
      </c>
      <c r="I512" s="1" t="s">
        <v>30</v>
      </c>
      <c r="J512" s="1">
        <v>0.75</v>
      </c>
      <c r="K512" s="7">
        <v>4884.8999999999996</v>
      </c>
      <c r="L512">
        <v>24</v>
      </c>
      <c r="M512" s="7">
        <f>Tabell1[[#This Row],[Salgspris]]*Tabell1[[#This Row],[Totalt antall]]</f>
        <v>117237.59999999999</v>
      </c>
      <c r="N512">
        <v>12</v>
      </c>
      <c r="O512">
        <v>3</v>
      </c>
      <c r="P512">
        <v>1</v>
      </c>
      <c r="Q512">
        <v>2</v>
      </c>
      <c r="S512">
        <v>1</v>
      </c>
      <c r="T512">
        <v>1</v>
      </c>
      <c r="U512">
        <v>2</v>
      </c>
      <c r="V512">
        <v>2</v>
      </c>
      <c r="X512"/>
      <c r="Y512" s="3"/>
    </row>
    <row r="513" spans="1:25" ht="32.1" customHeight="1" x14ac:dyDescent="0.25">
      <c r="A513" s="1">
        <v>12769801</v>
      </c>
      <c r="B513" t="s">
        <v>441</v>
      </c>
      <c r="C513" t="s">
        <v>442</v>
      </c>
      <c r="D513" s="1">
        <v>2018</v>
      </c>
      <c r="E513" t="s">
        <v>26</v>
      </c>
      <c r="F513" t="s">
        <v>27</v>
      </c>
      <c r="G513" t="s">
        <v>35</v>
      </c>
      <c r="I513" s="1" t="s">
        <v>30</v>
      </c>
      <c r="J513" s="1">
        <v>0.75</v>
      </c>
      <c r="K513" s="7">
        <v>834.1</v>
      </c>
      <c r="L513">
        <v>120</v>
      </c>
      <c r="M513" s="7">
        <f>Tabell1[[#This Row],[Salgspris]]*Tabell1[[#This Row],[Totalt antall]]</f>
        <v>100092</v>
      </c>
      <c r="N513">
        <v>36</v>
      </c>
      <c r="O513">
        <v>12</v>
      </c>
      <c r="P513">
        <v>6</v>
      </c>
      <c r="Q513">
        <v>12</v>
      </c>
      <c r="R513">
        <v>12</v>
      </c>
      <c r="S513">
        <v>6</v>
      </c>
      <c r="T513">
        <v>12</v>
      </c>
      <c r="U513">
        <v>12</v>
      </c>
      <c r="W513">
        <v>6</v>
      </c>
      <c r="X513">
        <v>6</v>
      </c>
      <c r="Y513" s="3"/>
    </row>
    <row r="514" spans="1:25" ht="32.1" customHeight="1" x14ac:dyDescent="0.25">
      <c r="A514" s="1">
        <v>12774301</v>
      </c>
      <c r="B514" t="s">
        <v>441</v>
      </c>
      <c r="C514" t="s">
        <v>220</v>
      </c>
      <c r="D514" s="1">
        <v>2018</v>
      </c>
      <c r="E514" t="s">
        <v>26</v>
      </c>
      <c r="F514" t="s">
        <v>27</v>
      </c>
      <c r="G514" t="s">
        <v>35</v>
      </c>
      <c r="H514" t="s">
        <v>38</v>
      </c>
      <c r="I514" s="1" t="s">
        <v>30</v>
      </c>
      <c r="J514" s="1">
        <v>0.75</v>
      </c>
      <c r="K514" s="7">
        <v>3247.9</v>
      </c>
      <c r="L514">
        <v>24</v>
      </c>
      <c r="M514" s="7">
        <f>Tabell1[[#This Row],[Salgspris]]*Tabell1[[#This Row],[Totalt antall]]</f>
        <v>77949.600000000006</v>
      </c>
      <c r="N514">
        <v>12</v>
      </c>
      <c r="O514">
        <v>2</v>
      </c>
      <c r="P514">
        <v>1</v>
      </c>
      <c r="Q514">
        <v>3</v>
      </c>
      <c r="R514">
        <v>2</v>
      </c>
      <c r="S514">
        <v>1</v>
      </c>
      <c r="T514">
        <v>1</v>
      </c>
      <c r="U514">
        <v>2</v>
      </c>
      <c r="X514"/>
      <c r="Y514" s="3"/>
    </row>
    <row r="515" spans="1:25" ht="32.1" customHeight="1" x14ac:dyDescent="0.25">
      <c r="A515" s="1">
        <v>12729801</v>
      </c>
      <c r="B515" t="s">
        <v>443</v>
      </c>
      <c r="C515" t="s">
        <v>444</v>
      </c>
      <c r="D515" s="1">
        <v>2018</v>
      </c>
      <c r="E515" t="s">
        <v>26</v>
      </c>
      <c r="F515" t="s">
        <v>27</v>
      </c>
      <c r="G515" t="s">
        <v>112</v>
      </c>
      <c r="I515" s="1" t="s">
        <v>45</v>
      </c>
      <c r="J515" s="1">
        <v>0.75</v>
      </c>
      <c r="K515" s="7">
        <v>599.29999999999995</v>
      </c>
      <c r="L515">
        <v>60</v>
      </c>
      <c r="M515" s="7">
        <f>Tabell1[[#This Row],[Salgspris]]*Tabell1[[#This Row],[Totalt antall]]</f>
        <v>35958</v>
      </c>
      <c r="N515">
        <v>24</v>
      </c>
      <c r="P515">
        <v>6</v>
      </c>
      <c r="S515">
        <v>6</v>
      </c>
      <c r="T515">
        <v>6</v>
      </c>
      <c r="U515">
        <v>12</v>
      </c>
      <c r="V515">
        <v>6</v>
      </c>
      <c r="X515"/>
      <c r="Y515" s="3"/>
    </row>
    <row r="516" spans="1:25" ht="32.1" customHeight="1" x14ac:dyDescent="0.25">
      <c r="A516" s="1">
        <v>12729901</v>
      </c>
      <c r="B516" t="s">
        <v>443</v>
      </c>
      <c r="C516" t="s">
        <v>445</v>
      </c>
      <c r="D516" s="1">
        <v>2018</v>
      </c>
      <c r="E516" t="s">
        <v>26</v>
      </c>
      <c r="F516" t="s">
        <v>27</v>
      </c>
      <c r="G516" t="s">
        <v>256</v>
      </c>
      <c r="H516" t="s">
        <v>29</v>
      </c>
      <c r="I516" s="1" t="s">
        <v>45</v>
      </c>
      <c r="J516" s="1">
        <v>0.75</v>
      </c>
      <c r="K516" s="7">
        <v>599.29999999999995</v>
      </c>
      <c r="L516">
        <v>24</v>
      </c>
      <c r="M516" s="7">
        <f>Tabell1[[#This Row],[Salgspris]]*Tabell1[[#This Row],[Totalt antall]]</f>
        <v>14383.199999999999</v>
      </c>
      <c r="N516">
        <v>12</v>
      </c>
      <c r="O516">
        <v>6</v>
      </c>
      <c r="Q516">
        <v>6</v>
      </c>
      <c r="X516"/>
      <c r="Y516" s="3"/>
    </row>
    <row r="517" spans="1:25" ht="32.1" customHeight="1" x14ac:dyDescent="0.25">
      <c r="A517" s="1">
        <v>12730201</v>
      </c>
      <c r="B517" t="s">
        <v>443</v>
      </c>
      <c r="C517" t="s">
        <v>446</v>
      </c>
      <c r="D517" s="1">
        <v>2018</v>
      </c>
      <c r="E517" t="s">
        <v>26</v>
      </c>
      <c r="F517" t="s">
        <v>27</v>
      </c>
      <c r="G517" t="s">
        <v>256</v>
      </c>
      <c r="H517" t="s">
        <v>29</v>
      </c>
      <c r="I517" s="1" t="s">
        <v>30</v>
      </c>
      <c r="J517" s="1">
        <v>0.75</v>
      </c>
      <c r="K517" s="7">
        <v>614.29999999999995</v>
      </c>
      <c r="L517">
        <v>60</v>
      </c>
      <c r="M517" s="7">
        <f>Tabell1[[#This Row],[Salgspris]]*Tabell1[[#This Row],[Totalt antall]]</f>
        <v>36858</v>
      </c>
      <c r="N517">
        <v>30</v>
      </c>
      <c r="O517">
        <v>6</v>
      </c>
      <c r="Q517">
        <v>6</v>
      </c>
      <c r="T517">
        <v>6</v>
      </c>
      <c r="U517">
        <v>6</v>
      </c>
      <c r="V517">
        <v>6</v>
      </c>
      <c r="X517"/>
      <c r="Y517" s="3"/>
    </row>
    <row r="518" spans="1:25" ht="32.1" customHeight="1" x14ac:dyDescent="0.25">
      <c r="A518" s="1">
        <v>12730001</v>
      </c>
      <c r="B518" t="s">
        <v>443</v>
      </c>
      <c r="C518" t="s">
        <v>447</v>
      </c>
      <c r="D518" s="1">
        <v>2018</v>
      </c>
      <c r="E518" t="s">
        <v>26</v>
      </c>
      <c r="F518" t="s">
        <v>27</v>
      </c>
      <c r="G518" t="s">
        <v>256</v>
      </c>
      <c r="H518" t="s">
        <v>29</v>
      </c>
      <c r="I518" s="1" t="s">
        <v>30</v>
      </c>
      <c r="J518" s="1">
        <v>0.75</v>
      </c>
      <c r="K518" s="7">
        <v>594.29999999999995</v>
      </c>
      <c r="L518">
        <v>60</v>
      </c>
      <c r="M518" s="7">
        <f>Tabell1[[#This Row],[Salgspris]]*Tabell1[[#This Row],[Totalt antall]]</f>
        <v>35658</v>
      </c>
      <c r="N518">
        <v>24</v>
      </c>
      <c r="O518">
        <v>6</v>
      </c>
      <c r="P518">
        <v>6</v>
      </c>
      <c r="Q518">
        <v>6</v>
      </c>
      <c r="R518">
        <v>6</v>
      </c>
      <c r="S518">
        <v>6</v>
      </c>
      <c r="U518">
        <v>6</v>
      </c>
      <c r="X518"/>
      <c r="Y518" s="3"/>
    </row>
    <row r="519" spans="1:25" ht="32.1" customHeight="1" x14ac:dyDescent="0.25">
      <c r="A519" s="1">
        <v>12730101</v>
      </c>
      <c r="B519" t="s">
        <v>443</v>
      </c>
      <c r="C519" t="s">
        <v>448</v>
      </c>
      <c r="D519" s="1">
        <v>2018</v>
      </c>
      <c r="E519" t="s">
        <v>26</v>
      </c>
      <c r="F519" t="s">
        <v>27</v>
      </c>
      <c r="G519" t="s">
        <v>256</v>
      </c>
      <c r="I519" s="1" t="s">
        <v>30</v>
      </c>
      <c r="J519" s="1">
        <v>0.75</v>
      </c>
      <c r="K519" s="7">
        <v>534.29999999999995</v>
      </c>
      <c r="L519">
        <v>120</v>
      </c>
      <c r="M519" s="7">
        <f>Tabell1[[#This Row],[Salgspris]]*Tabell1[[#This Row],[Totalt antall]]</f>
        <v>64115.999999999993</v>
      </c>
      <c r="N519">
        <v>24</v>
      </c>
      <c r="O519">
        <v>12</v>
      </c>
      <c r="P519">
        <v>12</v>
      </c>
      <c r="Q519">
        <v>12</v>
      </c>
      <c r="R519">
        <v>6</v>
      </c>
      <c r="S519">
        <v>12</v>
      </c>
      <c r="T519">
        <v>12</v>
      </c>
      <c r="U519">
        <v>12</v>
      </c>
      <c r="V519">
        <v>12</v>
      </c>
      <c r="W519">
        <v>3</v>
      </c>
      <c r="X519">
        <v>3</v>
      </c>
      <c r="Y519" s="3"/>
    </row>
    <row r="520" spans="1:25" ht="32.1" hidden="1" customHeight="1" x14ac:dyDescent="0.25">
      <c r="A520" s="1">
        <v>3411602</v>
      </c>
      <c r="B520" t="s">
        <v>449</v>
      </c>
      <c r="C520" t="s">
        <v>450</v>
      </c>
      <c r="D520" s="1" t="s">
        <v>451</v>
      </c>
      <c r="E520" t="s">
        <v>452</v>
      </c>
      <c r="F520" t="s">
        <v>453</v>
      </c>
      <c r="I520" s="1" t="s">
        <v>45</v>
      </c>
      <c r="J520" s="1">
        <v>0.375</v>
      </c>
      <c r="K520" s="5">
        <v>639.70000000000005</v>
      </c>
      <c r="L520">
        <v>60</v>
      </c>
      <c r="M520" s="7">
        <f>Tabell1[[#This Row],[Salgspris]]*Tabell1[[#This Row],[Totalt antall]]</f>
        <v>38382</v>
      </c>
      <c r="N520">
        <v>21</v>
      </c>
      <c r="O520">
        <v>6</v>
      </c>
      <c r="P520">
        <v>3</v>
      </c>
      <c r="Q520">
        <v>6</v>
      </c>
      <c r="R520">
        <v>6</v>
      </c>
      <c r="S520">
        <v>3</v>
      </c>
      <c r="T520">
        <v>3</v>
      </c>
      <c r="U520">
        <v>9</v>
      </c>
      <c r="V520">
        <v>3</v>
      </c>
      <c r="X520"/>
      <c r="Y520" s="3" t="s">
        <v>31</v>
      </c>
    </row>
    <row r="521" spans="1:25" ht="32.1" hidden="1" customHeight="1" x14ac:dyDescent="0.25">
      <c r="A521" s="1">
        <v>12497001</v>
      </c>
      <c r="B521" t="s">
        <v>454</v>
      </c>
      <c r="C521" t="s">
        <v>455</v>
      </c>
      <c r="D521" s="1">
        <v>2017</v>
      </c>
      <c r="E521" t="s">
        <v>456</v>
      </c>
      <c r="F521" t="s">
        <v>457</v>
      </c>
      <c r="G521" t="s">
        <v>458</v>
      </c>
      <c r="I521" s="1" t="s">
        <v>30</v>
      </c>
      <c r="J521" s="1">
        <v>0.75</v>
      </c>
      <c r="K521" s="5">
        <v>2172.6</v>
      </c>
      <c r="L521">
        <v>30</v>
      </c>
      <c r="M521" s="7">
        <f>Tabell1[[#This Row],[Salgspris]]*Tabell1[[#This Row],[Totalt antall]]</f>
        <v>65178</v>
      </c>
      <c r="N521">
        <v>12</v>
      </c>
      <c r="O521">
        <v>3</v>
      </c>
      <c r="P521">
        <v>3</v>
      </c>
      <c r="Q521">
        <v>3</v>
      </c>
      <c r="R521">
        <v>3</v>
      </c>
      <c r="S521">
        <v>3</v>
      </c>
      <c r="T521">
        <v>3</v>
      </c>
      <c r="X521"/>
      <c r="Y521" s="3"/>
    </row>
    <row r="522" spans="1:25" ht="32.1" hidden="1" customHeight="1" x14ac:dyDescent="0.25">
      <c r="A522" s="1">
        <v>12496901</v>
      </c>
      <c r="B522" t="s">
        <v>454</v>
      </c>
      <c r="C522" t="s">
        <v>459</v>
      </c>
      <c r="D522" s="1">
        <v>2017</v>
      </c>
      <c r="E522" t="s">
        <v>456</v>
      </c>
      <c r="F522" t="s">
        <v>457</v>
      </c>
      <c r="G522" t="s">
        <v>458</v>
      </c>
      <c r="I522" s="1" t="s">
        <v>30</v>
      </c>
      <c r="J522" s="1">
        <v>0.75</v>
      </c>
      <c r="K522" s="5">
        <v>2172.6</v>
      </c>
      <c r="L522">
        <v>24</v>
      </c>
      <c r="M522" s="7">
        <f>Tabell1[[#This Row],[Salgspris]]*Tabell1[[#This Row],[Totalt antall]]</f>
        <v>52142.399999999994</v>
      </c>
      <c r="N522">
        <v>12</v>
      </c>
      <c r="Q522">
        <v>6</v>
      </c>
      <c r="U522">
        <v>3</v>
      </c>
      <c r="V522">
        <v>3</v>
      </c>
      <c r="X522"/>
      <c r="Y522" s="3"/>
    </row>
    <row r="523" spans="1:25" ht="32.1" hidden="1" customHeight="1" x14ac:dyDescent="0.25">
      <c r="A523" s="1">
        <v>12496801</v>
      </c>
      <c r="B523" t="s">
        <v>454</v>
      </c>
      <c r="C523" t="s">
        <v>460</v>
      </c>
      <c r="D523" s="1">
        <v>2017</v>
      </c>
      <c r="E523" t="s">
        <v>456</v>
      </c>
      <c r="F523" t="s">
        <v>457</v>
      </c>
      <c r="G523" t="s">
        <v>458</v>
      </c>
      <c r="I523" s="1" t="s">
        <v>30</v>
      </c>
      <c r="J523" s="1">
        <v>0.75</v>
      </c>
      <c r="K523" s="5">
        <v>2172.6</v>
      </c>
      <c r="L523">
        <v>18</v>
      </c>
      <c r="M523" s="7">
        <f>Tabell1[[#This Row],[Salgspris]]*Tabell1[[#This Row],[Totalt antall]]</f>
        <v>39106.799999999996</v>
      </c>
      <c r="N523">
        <v>12</v>
      </c>
      <c r="O523">
        <v>6</v>
      </c>
      <c r="X523"/>
      <c r="Y523" s="3"/>
    </row>
    <row r="524" spans="1:25" ht="32.1" hidden="1" customHeight="1" x14ac:dyDescent="0.25">
      <c r="A524" s="1">
        <v>12497101</v>
      </c>
      <c r="B524" t="s">
        <v>461</v>
      </c>
      <c r="C524" t="s">
        <v>462</v>
      </c>
      <c r="D524" s="1">
        <v>2016</v>
      </c>
      <c r="E524" t="s">
        <v>456</v>
      </c>
      <c r="F524" t="s">
        <v>457</v>
      </c>
      <c r="G524" t="s">
        <v>463</v>
      </c>
      <c r="I524" s="1" t="s">
        <v>45</v>
      </c>
      <c r="J524" s="1">
        <v>0.75</v>
      </c>
      <c r="K524" s="5">
        <v>421.4</v>
      </c>
      <c r="L524">
        <v>120</v>
      </c>
      <c r="M524" s="7">
        <f>Tabell1[[#This Row],[Salgspris]]*Tabell1[[#This Row],[Totalt antall]]</f>
        <v>50568</v>
      </c>
      <c r="N524">
        <v>36</v>
      </c>
      <c r="O524">
        <v>12</v>
      </c>
      <c r="P524">
        <v>12</v>
      </c>
      <c r="Q524">
        <v>12</v>
      </c>
      <c r="R524">
        <v>12</v>
      </c>
      <c r="S524">
        <v>12</v>
      </c>
      <c r="T524">
        <v>12</v>
      </c>
      <c r="V524">
        <v>12</v>
      </c>
      <c r="X524"/>
      <c r="Y524" s="3"/>
    </row>
    <row r="525" spans="1:25" ht="32.1" hidden="1" customHeight="1" x14ac:dyDescent="0.25">
      <c r="A525" s="1">
        <v>12497201</v>
      </c>
      <c r="B525" t="s">
        <v>461</v>
      </c>
      <c r="C525" t="s">
        <v>464</v>
      </c>
      <c r="D525" s="1">
        <v>2016</v>
      </c>
      <c r="E525" t="s">
        <v>456</v>
      </c>
      <c r="F525" t="s">
        <v>457</v>
      </c>
      <c r="G525" t="s">
        <v>463</v>
      </c>
      <c r="I525" s="1" t="s">
        <v>30</v>
      </c>
      <c r="J525" s="1">
        <v>0.75</v>
      </c>
      <c r="K525" s="5">
        <v>483.5</v>
      </c>
      <c r="L525">
        <v>84</v>
      </c>
      <c r="M525" s="7">
        <f>Tabell1[[#This Row],[Salgspris]]*Tabell1[[#This Row],[Totalt antall]]</f>
        <v>40614</v>
      </c>
      <c r="N525">
        <v>24</v>
      </c>
      <c r="O525">
        <v>6</v>
      </c>
      <c r="P525">
        <v>6</v>
      </c>
      <c r="Q525">
        <v>6</v>
      </c>
      <c r="R525">
        <v>6</v>
      </c>
      <c r="S525">
        <v>6</v>
      </c>
      <c r="T525">
        <v>6</v>
      </c>
      <c r="U525">
        <v>12</v>
      </c>
      <c r="V525">
        <v>6</v>
      </c>
      <c r="X525">
        <v>6</v>
      </c>
      <c r="Y525" s="3"/>
    </row>
    <row r="526" spans="1:25" ht="32.1" hidden="1" customHeight="1" x14ac:dyDescent="0.25">
      <c r="A526" s="1">
        <v>12497301</v>
      </c>
      <c r="B526" t="s">
        <v>461</v>
      </c>
      <c r="C526" t="s">
        <v>465</v>
      </c>
      <c r="D526" s="1">
        <v>2015</v>
      </c>
      <c r="E526" t="s">
        <v>456</v>
      </c>
      <c r="F526" t="s">
        <v>457</v>
      </c>
      <c r="G526" t="s">
        <v>463</v>
      </c>
      <c r="I526" s="1" t="s">
        <v>30</v>
      </c>
      <c r="J526" s="1">
        <v>0.75</v>
      </c>
      <c r="K526" s="5">
        <v>871.4</v>
      </c>
      <c r="L526">
        <v>84</v>
      </c>
      <c r="M526" s="7">
        <f>Tabell1[[#This Row],[Salgspris]]*Tabell1[[#This Row],[Totalt antall]]</f>
        <v>73197.599999999991</v>
      </c>
      <c r="N526">
        <v>36</v>
      </c>
      <c r="O526">
        <v>6</v>
      </c>
      <c r="P526">
        <v>6</v>
      </c>
      <c r="Q526">
        <v>6</v>
      </c>
      <c r="R526">
        <v>6</v>
      </c>
      <c r="S526">
        <v>6</v>
      </c>
      <c r="T526">
        <v>6</v>
      </c>
      <c r="U526">
        <v>6</v>
      </c>
      <c r="W526">
        <v>6</v>
      </c>
      <c r="X526"/>
      <c r="Y526" s="3"/>
    </row>
    <row r="527" spans="1:25" ht="32.1" hidden="1" customHeight="1" x14ac:dyDescent="0.25">
      <c r="A527" s="1">
        <v>12497401</v>
      </c>
      <c r="B527" t="s">
        <v>461</v>
      </c>
      <c r="C527" t="s">
        <v>466</v>
      </c>
      <c r="D527" s="1">
        <v>2016</v>
      </c>
      <c r="E527" t="s">
        <v>456</v>
      </c>
      <c r="F527" t="s">
        <v>457</v>
      </c>
      <c r="G527" t="s">
        <v>463</v>
      </c>
      <c r="I527" s="1" t="s">
        <v>30</v>
      </c>
      <c r="J527" s="1">
        <v>0.75</v>
      </c>
      <c r="K527" s="5">
        <v>661.4</v>
      </c>
      <c r="L527">
        <v>84</v>
      </c>
      <c r="M527" s="7">
        <f>Tabell1[[#This Row],[Salgspris]]*Tabell1[[#This Row],[Totalt antall]]</f>
        <v>55557.599999999999</v>
      </c>
      <c r="N527">
        <v>24</v>
      </c>
      <c r="O527">
        <v>6</v>
      </c>
      <c r="P527">
        <v>6</v>
      </c>
      <c r="Q527">
        <v>6</v>
      </c>
      <c r="R527">
        <v>6</v>
      </c>
      <c r="S527">
        <v>6</v>
      </c>
      <c r="T527">
        <v>6</v>
      </c>
      <c r="U527">
        <v>6</v>
      </c>
      <c r="V527">
        <v>6</v>
      </c>
      <c r="W527">
        <v>6</v>
      </c>
      <c r="X527">
        <v>6</v>
      </c>
      <c r="Y527" s="3"/>
    </row>
    <row r="528" spans="1:25" ht="32.1" hidden="1" customHeight="1" x14ac:dyDescent="0.25">
      <c r="A528" s="1">
        <v>12497501</v>
      </c>
      <c r="B528" t="s">
        <v>467</v>
      </c>
      <c r="C528" t="s">
        <v>468</v>
      </c>
      <c r="D528" s="1">
        <v>2017</v>
      </c>
      <c r="E528" t="s">
        <v>456</v>
      </c>
      <c r="F528" t="s">
        <v>457</v>
      </c>
      <c r="G528" t="s">
        <v>469</v>
      </c>
      <c r="I528" s="1" t="s">
        <v>45</v>
      </c>
      <c r="J528" s="1">
        <v>0.75</v>
      </c>
      <c r="K528" s="5">
        <v>361.4</v>
      </c>
      <c r="L528">
        <v>240</v>
      </c>
      <c r="M528" s="7">
        <f>Tabell1[[#This Row],[Salgspris]]*Tabell1[[#This Row],[Totalt antall]]</f>
        <v>86736</v>
      </c>
      <c r="N528">
        <v>48</v>
      </c>
      <c r="O528">
        <v>24</v>
      </c>
      <c r="P528">
        <v>12</v>
      </c>
      <c r="Q528">
        <v>36</v>
      </c>
      <c r="R528">
        <v>12</v>
      </c>
      <c r="S528">
        <v>12</v>
      </c>
      <c r="T528">
        <v>24</v>
      </c>
      <c r="U528">
        <v>36</v>
      </c>
      <c r="V528">
        <v>12</v>
      </c>
      <c r="W528">
        <v>12</v>
      </c>
      <c r="X528">
        <v>12</v>
      </c>
      <c r="Y528" s="3"/>
    </row>
    <row r="529" spans="1:25" ht="32.1" hidden="1" customHeight="1" x14ac:dyDescent="0.25">
      <c r="A529" s="1">
        <v>12497601</v>
      </c>
      <c r="B529" t="s">
        <v>467</v>
      </c>
      <c r="C529" t="s">
        <v>470</v>
      </c>
      <c r="D529" s="1">
        <v>2016</v>
      </c>
      <c r="E529" t="s">
        <v>456</v>
      </c>
      <c r="F529" t="s">
        <v>457</v>
      </c>
      <c r="G529" t="s">
        <v>463</v>
      </c>
      <c r="I529" s="1" t="s">
        <v>45</v>
      </c>
      <c r="J529" s="1">
        <v>0.75</v>
      </c>
      <c r="K529" s="5">
        <v>636.5</v>
      </c>
      <c r="L529">
        <v>84</v>
      </c>
      <c r="M529" s="7">
        <f>Tabell1[[#This Row],[Salgspris]]*Tabell1[[#This Row],[Totalt antall]]</f>
        <v>53466</v>
      </c>
      <c r="N529">
        <v>24</v>
      </c>
      <c r="O529">
        <v>6</v>
      </c>
      <c r="P529">
        <v>6</v>
      </c>
      <c r="Q529">
        <v>6</v>
      </c>
      <c r="R529">
        <v>6</v>
      </c>
      <c r="S529">
        <v>6</v>
      </c>
      <c r="T529">
        <v>6</v>
      </c>
      <c r="U529">
        <v>12</v>
      </c>
      <c r="V529">
        <v>12</v>
      </c>
      <c r="X529"/>
      <c r="Y529" s="3"/>
    </row>
    <row r="530" spans="1:25" ht="32.1" hidden="1" customHeight="1" x14ac:dyDescent="0.25">
      <c r="A530" s="1">
        <v>12497801</v>
      </c>
      <c r="B530" t="s">
        <v>471</v>
      </c>
      <c r="C530" t="s">
        <v>472</v>
      </c>
      <c r="D530" s="1">
        <v>2018</v>
      </c>
      <c r="E530" t="s">
        <v>456</v>
      </c>
      <c r="F530" t="s">
        <v>473</v>
      </c>
      <c r="G530" t="s">
        <v>474</v>
      </c>
      <c r="I530" s="1" t="s">
        <v>30</v>
      </c>
      <c r="J530" s="1">
        <v>0.75</v>
      </c>
      <c r="K530" s="5">
        <v>651.4</v>
      </c>
      <c r="L530">
        <v>120</v>
      </c>
      <c r="M530" s="7">
        <f>Tabell1[[#This Row],[Salgspris]]*Tabell1[[#This Row],[Totalt antall]]</f>
        <v>78168</v>
      </c>
      <c r="N530">
        <v>24</v>
      </c>
      <c r="O530">
        <v>12</v>
      </c>
      <c r="P530">
        <v>12</v>
      </c>
      <c r="Q530">
        <v>12</v>
      </c>
      <c r="S530">
        <v>12</v>
      </c>
      <c r="T530">
        <v>12</v>
      </c>
      <c r="U530">
        <v>18</v>
      </c>
      <c r="V530">
        <v>6</v>
      </c>
      <c r="X530">
        <v>12</v>
      </c>
      <c r="Y530" s="3"/>
    </row>
    <row r="531" spans="1:25" ht="32.1" hidden="1" customHeight="1" x14ac:dyDescent="0.25">
      <c r="A531" s="1">
        <v>12497901</v>
      </c>
      <c r="B531" t="s">
        <v>471</v>
      </c>
      <c r="C531" t="s">
        <v>475</v>
      </c>
      <c r="D531" s="1">
        <v>2018</v>
      </c>
      <c r="E531" t="s">
        <v>456</v>
      </c>
      <c r="F531" t="s">
        <v>473</v>
      </c>
      <c r="G531" t="s">
        <v>474</v>
      </c>
      <c r="I531" s="1" t="s">
        <v>30</v>
      </c>
      <c r="J531" s="1">
        <v>0.75</v>
      </c>
      <c r="K531" s="5">
        <v>651.4</v>
      </c>
      <c r="L531">
        <v>120</v>
      </c>
      <c r="M531" s="7">
        <f>Tabell1[[#This Row],[Salgspris]]*Tabell1[[#This Row],[Totalt antall]]</f>
        <v>78168</v>
      </c>
      <c r="N531">
        <v>24</v>
      </c>
      <c r="O531">
        <v>12</v>
      </c>
      <c r="P531">
        <v>12</v>
      </c>
      <c r="Q531">
        <v>12</v>
      </c>
      <c r="R531">
        <v>6</v>
      </c>
      <c r="S531">
        <v>12</v>
      </c>
      <c r="T531">
        <v>12</v>
      </c>
      <c r="U531">
        <v>6</v>
      </c>
      <c r="V531">
        <v>12</v>
      </c>
      <c r="W531">
        <v>12</v>
      </c>
      <c r="X531"/>
      <c r="Y531" s="3"/>
    </row>
    <row r="532" spans="1:25" ht="32.1" hidden="1" customHeight="1" x14ac:dyDescent="0.25">
      <c r="A532" s="1">
        <v>12498001</v>
      </c>
      <c r="B532" t="s">
        <v>471</v>
      </c>
      <c r="C532" t="s">
        <v>476</v>
      </c>
      <c r="D532" s="1">
        <v>2018</v>
      </c>
      <c r="E532" t="s">
        <v>456</v>
      </c>
      <c r="F532" t="s">
        <v>473</v>
      </c>
      <c r="G532" t="s">
        <v>474</v>
      </c>
      <c r="I532" s="1" t="s">
        <v>30</v>
      </c>
      <c r="J532" s="1">
        <v>0.75</v>
      </c>
      <c r="K532" s="5">
        <v>651.4</v>
      </c>
      <c r="L532">
        <v>120</v>
      </c>
      <c r="M532" s="7">
        <f>Tabell1[[#This Row],[Salgspris]]*Tabell1[[#This Row],[Totalt antall]]</f>
        <v>78168</v>
      </c>
      <c r="N532">
        <v>24</v>
      </c>
      <c r="O532">
        <v>12</v>
      </c>
      <c r="P532">
        <v>12</v>
      </c>
      <c r="Q532">
        <v>12</v>
      </c>
      <c r="S532">
        <v>12</v>
      </c>
      <c r="T532">
        <v>12</v>
      </c>
      <c r="U532">
        <v>24</v>
      </c>
      <c r="V532">
        <v>12</v>
      </c>
      <c r="X532"/>
      <c r="Y532" s="3"/>
    </row>
    <row r="533" spans="1:25" ht="32.1" hidden="1" customHeight="1" x14ac:dyDescent="0.25">
      <c r="A533" s="1">
        <v>12497701</v>
      </c>
      <c r="B533" t="s">
        <v>471</v>
      </c>
      <c r="C533" t="s">
        <v>477</v>
      </c>
      <c r="D533" s="1">
        <v>2018</v>
      </c>
      <c r="E533" t="s">
        <v>456</v>
      </c>
      <c r="F533" t="s">
        <v>473</v>
      </c>
      <c r="G533" t="s">
        <v>474</v>
      </c>
      <c r="I533" s="1" t="s">
        <v>30</v>
      </c>
      <c r="J533" s="1">
        <v>0.75</v>
      </c>
      <c r="K533" s="5">
        <v>690.5</v>
      </c>
      <c r="L533">
        <v>60</v>
      </c>
      <c r="M533" s="7">
        <f>Tabell1[[#This Row],[Salgspris]]*Tabell1[[#This Row],[Totalt antall]]</f>
        <v>41430</v>
      </c>
      <c r="N533">
        <v>18</v>
      </c>
      <c r="O533">
        <v>6</v>
      </c>
      <c r="P533">
        <v>6</v>
      </c>
      <c r="Q533">
        <v>6</v>
      </c>
      <c r="R533">
        <v>6</v>
      </c>
      <c r="S533">
        <v>6</v>
      </c>
      <c r="T533">
        <v>6</v>
      </c>
      <c r="U533">
        <v>6</v>
      </c>
      <c r="X533"/>
      <c r="Y533" s="3"/>
    </row>
    <row r="534" spans="1:25" ht="32.1" hidden="1" customHeight="1" x14ac:dyDescent="0.25">
      <c r="A534" s="1">
        <v>12498101</v>
      </c>
      <c r="B534" t="s">
        <v>471</v>
      </c>
      <c r="C534" t="s">
        <v>478</v>
      </c>
      <c r="D534" s="1">
        <v>2018</v>
      </c>
      <c r="E534" t="s">
        <v>456</v>
      </c>
      <c r="F534" t="s">
        <v>473</v>
      </c>
      <c r="G534" t="s">
        <v>474</v>
      </c>
      <c r="I534" s="1" t="s">
        <v>30</v>
      </c>
      <c r="J534" s="1">
        <v>0.75</v>
      </c>
      <c r="K534" s="5">
        <v>591.4</v>
      </c>
      <c r="L534">
        <v>60</v>
      </c>
      <c r="M534" s="7">
        <f>Tabell1[[#This Row],[Salgspris]]*Tabell1[[#This Row],[Totalt antall]]</f>
        <v>35484</v>
      </c>
      <c r="N534">
        <v>12</v>
      </c>
      <c r="O534">
        <v>6</v>
      </c>
      <c r="P534">
        <v>6</v>
      </c>
      <c r="Q534">
        <v>6</v>
      </c>
      <c r="R534">
        <v>6</v>
      </c>
      <c r="S534">
        <v>6</v>
      </c>
      <c r="T534">
        <v>6</v>
      </c>
      <c r="U534">
        <v>6</v>
      </c>
      <c r="V534">
        <v>6</v>
      </c>
      <c r="X534"/>
      <c r="Y534" s="3"/>
    </row>
  </sheetData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headerFooter>
    <oddHeader>&amp;C&amp;18Lanseringsliste spesiallansering Burgund 22.02.2021-25.02.2021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69EBA9-0641-4393-8DC0-443A3315918B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metadata/properties"/>
    <ds:schemaRef ds:uri="56ee34bc-3c3e-49ed-81f0-4f6da9966adc"/>
    <ds:schemaRef ds:uri="http://schemas.openxmlformats.org/package/2006/metadata/core-properties"/>
    <ds:schemaRef ds:uri="6f9d9f57-3724-4ee0-9bc0-8a070f583baf"/>
    <ds:schemaRef ds:uri="http://purl.org/dc/terms/"/>
    <ds:schemaRef ds:uri="cb3009fd-0dd9-42b4-b636-d64152022a82"/>
  </ds:schemaRefs>
</ds:datastoreItem>
</file>

<file path=customXml/itemProps2.xml><?xml version="1.0" encoding="utf-8"?>
<ds:datastoreItem xmlns:ds="http://schemas.openxmlformats.org/officeDocument/2006/customXml" ds:itemID="{1B3EFE21-EAA3-4D54-801C-B142AF991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EADDD7-8259-44D7-9A36-A0FD673964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2021-02-04T14:01:41Z</dcterms:created>
  <dcterms:modified xsi:type="dcterms:W3CDTF">2026-03-20T09:08:18Z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