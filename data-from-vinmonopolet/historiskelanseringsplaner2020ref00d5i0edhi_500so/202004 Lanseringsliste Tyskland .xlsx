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0/202004 Tyskland/"/>
    </mc:Choice>
  </mc:AlternateContent>
  <xr:revisionPtr revIDLastSave="157" documentId="11_212CFEFC418CA51FFC93D23C09CDBCBDD122820A" xr6:coauthVersionLast="47" xr6:coauthVersionMax="47" xr10:uidLastSave="{F8F00363-0973-4200-A88C-C4EDBC0284E2}"/>
  <bookViews>
    <workbookView xWindow="-110" yWindow="-110" windowWidth="19420" windowHeight="10420" xr2:uid="{00000000-000D-0000-FFFF-FFFF00000000}"/>
  </bookViews>
  <sheets>
    <sheet name="LANSERING" sheetId="3" r:id="rId1"/>
  </sheets>
  <definedNames>
    <definedName name="Print_Titles" localSheetId="0">LANSERING!$1:$1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3" l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</calcChain>
</file>

<file path=xl/sharedStrings.xml><?xml version="1.0" encoding="utf-8"?>
<sst xmlns="http://schemas.openxmlformats.org/spreadsheetml/2006/main" count="1571" uniqueCount="565">
  <si>
    <t>Kommentar</t>
  </si>
  <si>
    <t>Artikkelnr.</t>
  </si>
  <si>
    <t>Produsent</t>
  </si>
  <si>
    <t>Produktnavn</t>
  </si>
  <si>
    <t>Årgang</t>
  </si>
  <si>
    <t>Land</t>
  </si>
  <si>
    <t>Distrikt</t>
  </si>
  <si>
    <t>Kommune</t>
  </si>
  <si>
    <t>Vinmark</t>
  </si>
  <si>
    <t>Varetype</t>
  </si>
  <si>
    <t>Volum</t>
  </si>
  <si>
    <t>Salgspris</t>
  </si>
  <si>
    <t>Totalt antall</t>
  </si>
  <si>
    <t>Kolonne1</t>
  </si>
  <si>
    <t>Fordeling Oslo, Aker Brygge</t>
  </si>
  <si>
    <t>Fordeling Bergen, Valkendorfsgt.</t>
  </si>
  <si>
    <t>Fordeling Hamar</t>
  </si>
  <si>
    <t>Fordeling Sandnes, Sentrum</t>
  </si>
  <si>
    <t>Fordeling Oslo, CC Vest</t>
  </si>
  <si>
    <t>Fordeling Sandefjord</t>
  </si>
  <si>
    <t>Fordeling Trondheim, Valentinlyst</t>
  </si>
  <si>
    <t>Post/ På dør</t>
  </si>
  <si>
    <t xml:space="preserve">Kvotering </t>
  </si>
  <si>
    <t>Kvotering nettbutikk</t>
  </si>
  <si>
    <t>Ch. Brane-Cantenac</t>
  </si>
  <si>
    <t>Frankrike</t>
  </si>
  <si>
    <t>Bordeaux</t>
  </si>
  <si>
    <t>Margaux</t>
  </si>
  <si>
    <t>Rødvin</t>
  </si>
  <si>
    <t xml:space="preserve">      880,70</t>
  </si>
  <si>
    <t>Ch. Capbern</t>
  </si>
  <si>
    <t>St.-Estephe</t>
  </si>
  <si>
    <t xml:space="preserve">      361,40</t>
  </si>
  <si>
    <t>Ch. Haut-Bailly</t>
  </si>
  <si>
    <t>Pessac-Leognan</t>
  </si>
  <si>
    <t xml:space="preserve">     1456,40</t>
  </si>
  <si>
    <t>Ch. Issan</t>
  </si>
  <si>
    <t>Blason d'Issan</t>
  </si>
  <si>
    <t xml:space="preserve">      385,90</t>
  </si>
  <si>
    <t xml:space="preserve">      790,10</t>
  </si>
  <si>
    <t>Ch. Leoville-Barton</t>
  </si>
  <si>
    <t>St.-Julien</t>
  </si>
  <si>
    <t xml:space="preserve">     1081,10</t>
  </si>
  <si>
    <t>Maks 6 flasker pr pers</t>
  </si>
  <si>
    <t>Ch. Phelan-Segur</t>
  </si>
  <si>
    <t xml:space="preserve">      564,40</t>
  </si>
  <si>
    <t>Chateau de Pez</t>
  </si>
  <si>
    <t xml:space="preserve">      850,00</t>
  </si>
  <si>
    <t>Domaine de Chevalier</t>
  </si>
  <si>
    <t xml:space="preserve">      869,00</t>
  </si>
  <si>
    <t xml:space="preserve">Domaine de Chevalier               </t>
  </si>
  <si>
    <t>Hvitvin</t>
  </si>
  <si>
    <t xml:space="preserve">      860,80</t>
  </si>
  <si>
    <t xml:space="preserve">Domaine de Chevalier  </t>
  </si>
  <si>
    <t xml:space="preserve">      985,90</t>
  </si>
  <si>
    <t>Joliet</t>
  </si>
  <si>
    <t>Fixin Clos de la Perriere</t>
  </si>
  <si>
    <t>Burgund</t>
  </si>
  <si>
    <t>Fixin</t>
  </si>
  <si>
    <t>Clos de la Perriere</t>
  </si>
  <si>
    <t>hvitvin</t>
  </si>
  <si>
    <t xml:space="preserve">      758,90</t>
  </si>
  <si>
    <t>rødvin</t>
  </si>
  <si>
    <t xml:space="preserve">      668,90</t>
  </si>
  <si>
    <t>Pascerettes des Vignes</t>
  </si>
  <si>
    <t>Macon Milly-Lamartine Cuvee Claude et Alphonsine</t>
  </si>
  <si>
    <t>Macon Milly-Lamartine</t>
  </si>
  <si>
    <t xml:space="preserve">      237,70</t>
  </si>
  <si>
    <t>Leccia, Yves</t>
  </si>
  <si>
    <t>Patrimonio e Croce</t>
  </si>
  <si>
    <t>Korsika</t>
  </si>
  <si>
    <t>Patrimonio</t>
  </si>
  <si>
    <t xml:space="preserve">      351,00</t>
  </si>
  <si>
    <t>Vico / Clos Venturi</t>
  </si>
  <si>
    <t>Clos Venturi 1769</t>
  </si>
  <si>
    <t xml:space="preserve">      261,00</t>
  </si>
  <si>
    <t>Istine</t>
  </si>
  <si>
    <t>Chianti Classico Riserva Levigne</t>
  </si>
  <si>
    <t>Italia</t>
  </si>
  <si>
    <t>Toscana</t>
  </si>
  <si>
    <t>Chianti Classico</t>
  </si>
  <si>
    <t xml:space="preserve">      518,20</t>
  </si>
  <si>
    <t>Chianti Classico Vigna Casanova dell Aia</t>
  </si>
  <si>
    <t>Casanova dell Aia</t>
  </si>
  <si>
    <t xml:space="preserve">      481,40</t>
  </si>
  <si>
    <t>Enderle &amp; Moll</t>
  </si>
  <si>
    <t>Pinot Noir Buntsandstein Ida</t>
  </si>
  <si>
    <t>Tyskland</t>
  </si>
  <si>
    <t>Baden</t>
  </si>
  <si>
    <t>Münchweier</t>
  </si>
  <si>
    <t xml:space="preserve">      508,90</t>
  </si>
  <si>
    <t>Pinot Noir Liaison</t>
  </si>
  <si>
    <t xml:space="preserve">      378,80</t>
  </si>
  <si>
    <t>Pinot Noir Muschelkalk</t>
  </si>
  <si>
    <t>Pinot Noir Pinot a Trois</t>
  </si>
  <si>
    <t xml:space="preserve">      613,90</t>
  </si>
  <si>
    <t>Heger</t>
  </si>
  <si>
    <t>Ihringer Winklerberg Winklen Rappenecker Weissburgunder GG</t>
  </si>
  <si>
    <t>Ihringen</t>
  </si>
  <si>
    <t>Winklerberg</t>
  </si>
  <si>
    <t xml:space="preserve">      378,20</t>
  </si>
  <si>
    <t>Huber</t>
  </si>
  <si>
    <t>Hecklinger Schlossberg Spätburgunder GG</t>
  </si>
  <si>
    <t>Hecklingen</t>
  </si>
  <si>
    <t>Schlossberg</t>
  </si>
  <si>
    <t xml:space="preserve">      771,10</t>
  </si>
  <si>
    <t>Malterdinger Bienenberg Spätburgunder GG</t>
  </si>
  <si>
    <t>Malterdingen</t>
  </si>
  <si>
    <t>Bienenberg</t>
  </si>
  <si>
    <t xml:space="preserve">      611,10</t>
  </si>
  <si>
    <t>Schloss Neuweier</t>
  </si>
  <si>
    <t>Neuweierer Mauerwein Riesling GG</t>
  </si>
  <si>
    <t>Neuweier</t>
  </si>
  <si>
    <t>Mauerberg</t>
  </si>
  <si>
    <t>Wassmer, F.</t>
  </si>
  <si>
    <t>Kenzinger Roter Berg Spätburgunder</t>
  </si>
  <si>
    <t>Kenzingen</t>
  </si>
  <si>
    <t xml:space="preserve">Roter Berg </t>
  </si>
  <si>
    <t xml:space="preserve">      843,90</t>
  </si>
  <si>
    <t>Spätburgunder</t>
  </si>
  <si>
    <t xml:space="preserve">      283,90</t>
  </si>
  <si>
    <t>Fürst, R.</t>
  </si>
  <si>
    <t>Bürgstadter Centgrafenberg Riesling GG</t>
  </si>
  <si>
    <t>Franken</t>
  </si>
  <si>
    <t>Burgstadt</t>
  </si>
  <si>
    <t>Centgrafenberg</t>
  </si>
  <si>
    <t xml:space="preserve">      430,00</t>
  </si>
  <si>
    <t>Bürgstadter Hundsrück Spätburgunder GG</t>
  </si>
  <si>
    <t>Hundsrück</t>
  </si>
  <si>
    <t xml:space="preserve">     1294,50</t>
  </si>
  <si>
    <t>Weltner</t>
  </si>
  <si>
    <t>Rödelseer Küchenmeister Hoheleite Riesling GG</t>
  </si>
  <si>
    <t>Rödelsee</t>
  </si>
  <si>
    <t>Küchenmeister</t>
  </si>
  <si>
    <t xml:space="preserve">      519,90</t>
  </si>
  <si>
    <t>Rödelseer Küchenmeister Hoheleite Sylvaner GG</t>
  </si>
  <si>
    <t>Cantzheim</t>
  </si>
  <si>
    <t>Kanzemer Altenberg Riesling Der Altenberg</t>
  </si>
  <si>
    <t>Mosel</t>
  </si>
  <si>
    <t>Kanzem</t>
  </si>
  <si>
    <t>Altenberg</t>
  </si>
  <si>
    <t xml:space="preserve">      360,90</t>
  </si>
  <si>
    <t>Saarburger Fuchs Riesling Der Fuchs</t>
  </si>
  <si>
    <t>Saarburg</t>
  </si>
  <si>
    <t>Fuchs</t>
  </si>
  <si>
    <t xml:space="preserve">      381,00</t>
  </si>
  <si>
    <t>Wiltinger Riesling Der Wiltinger Le Grand</t>
  </si>
  <si>
    <t>Wiltingen</t>
  </si>
  <si>
    <t>Haag, F.</t>
  </si>
  <si>
    <t>Brauneberger Juffer-Sonnenuhr Riesling Auslese</t>
  </si>
  <si>
    <t>Brauneberg</t>
  </si>
  <si>
    <t>Juffer-Sonnenuhr</t>
  </si>
  <si>
    <t xml:space="preserve">      398,30</t>
  </si>
  <si>
    <t>Brauneberger Juffer-Sonnenuhr Riesling GG</t>
  </si>
  <si>
    <t xml:space="preserve">      415,00</t>
  </si>
  <si>
    <t>Brauneberger Juffer Riesling Trockenbeerenauslese</t>
  </si>
  <si>
    <t xml:space="preserve">     2435,30</t>
  </si>
  <si>
    <t>Haart, J.</t>
  </si>
  <si>
    <t xml:space="preserve">Piesporter Goldtröpfchen Riesling  </t>
  </si>
  <si>
    <t>Piesport</t>
  </si>
  <si>
    <t xml:space="preserve">Goldtröpfchen </t>
  </si>
  <si>
    <t xml:space="preserve">      421,00</t>
  </si>
  <si>
    <t>Maks 1 flaske pr pers</t>
  </si>
  <si>
    <t>Piesporter Goldtröpfchen Riesling Spätlese</t>
  </si>
  <si>
    <t xml:space="preserve">      310,00</t>
  </si>
  <si>
    <t>Piesporter Riesling</t>
  </si>
  <si>
    <t xml:space="preserve">      298,00</t>
  </si>
  <si>
    <t>Maks 2 flasker pr pers</t>
  </si>
  <si>
    <t>Wintricher Ohligsberg Riesling</t>
  </si>
  <si>
    <t>Wintrich</t>
  </si>
  <si>
    <t>Ohligsberg</t>
  </si>
  <si>
    <t xml:space="preserve">      481,00</t>
  </si>
  <si>
    <t>Wintricher Ohligsberg Riesling Spätlese</t>
  </si>
  <si>
    <t xml:space="preserve">      321,00</t>
  </si>
  <si>
    <t>Karthäuserhof</t>
  </si>
  <si>
    <t>Eitelsbacher Karthäuserhofberg Riesling Auslese #59</t>
  </si>
  <si>
    <t>Eitelsbach</t>
  </si>
  <si>
    <t>Karthäuserhofberg</t>
  </si>
  <si>
    <t xml:space="preserve">     1006,70</t>
  </si>
  <si>
    <t>Eitelsbacher Karthäuserhofberg Riesling GG</t>
  </si>
  <si>
    <t xml:space="preserve">      514,90</t>
  </si>
  <si>
    <t>Riesling Trocken Tyrell's Edition</t>
  </si>
  <si>
    <t xml:space="preserve">      385,60</t>
  </si>
  <si>
    <t>Prüm, J. J.</t>
  </si>
  <si>
    <t>Wehlener Sonnenuhr Riesling Auslese</t>
  </si>
  <si>
    <t>Wehlen</t>
  </si>
  <si>
    <t>Sonnenuhr</t>
  </si>
  <si>
    <t xml:space="preserve">      419,80</t>
  </si>
  <si>
    <t>Wehlener Sonnenuhr Riesling Auslese Goldkapsel</t>
  </si>
  <si>
    <t xml:space="preserve">      724,10</t>
  </si>
  <si>
    <t>Wehlener Sonnenuhr Riesling Kabinett</t>
  </si>
  <si>
    <t xml:space="preserve">      314,80</t>
  </si>
  <si>
    <t xml:space="preserve">      693,80</t>
  </si>
  <si>
    <t>Wehlener Sonnenuhr Riesling Spätlese</t>
  </si>
  <si>
    <t xml:space="preserve">      367,80</t>
  </si>
  <si>
    <t xml:space="preserve">      793,80</t>
  </si>
  <si>
    <t>Schloss Lieser</t>
  </si>
  <si>
    <t xml:space="preserve">      470,90</t>
  </si>
  <si>
    <t xml:space="preserve">      470,00</t>
  </si>
  <si>
    <t>Brauneberger Juffer-Sonnenuhr Riesling Spätlese</t>
  </si>
  <si>
    <t>Graacher Himmelreich Riesling GG</t>
  </si>
  <si>
    <t>Graach</t>
  </si>
  <si>
    <t>Himmelreich</t>
  </si>
  <si>
    <t xml:space="preserve">      469,80</t>
  </si>
  <si>
    <t>Lieserer Niedeberg-Helden Riesling GG</t>
  </si>
  <si>
    <t>Lieser</t>
  </si>
  <si>
    <t xml:space="preserve">Niedeberg-Helden </t>
  </si>
  <si>
    <t>Piesporter Goldtröpfchen Riesling GG</t>
  </si>
  <si>
    <t>Wehlener Sonnenuhr Riesling GG</t>
  </si>
  <si>
    <t>Schubert</t>
  </si>
  <si>
    <t>Maximin Grünhaus Abtsberg Riesling GG</t>
  </si>
  <si>
    <t>Mertesdorf</t>
  </si>
  <si>
    <t>Maximin Grünhaus Abtsberg</t>
  </si>
  <si>
    <t xml:space="preserve">      430,50</t>
  </si>
  <si>
    <t>Maximin Grünhaus Abtsberg Riesling Kabinett</t>
  </si>
  <si>
    <t xml:space="preserve">      305,70</t>
  </si>
  <si>
    <t>Maximin Grünhaus Abtsberg Riesling Spätlese</t>
  </si>
  <si>
    <t xml:space="preserve">      335,70</t>
  </si>
  <si>
    <t>Maximin Grünhaus Herrenberg Riesling GG</t>
  </si>
  <si>
    <t>Maximin Grünhaus Herrenberg</t>
  </si>
  <si>
    <t xml:space="preserve">      430,70</t>
  </si>
  <si>
    <t>Steinmetz und Hermann</t>
  </si>
  <si>
    <t>Ürziger Würzgarten Riesling Alte Reben</t>
  </si>
  <si>
    <t>Ürzig</t>
  </si>
  <si>
    <t>Würzgarten</t>
  </si>
  <si>
    <t xml:space="preserve">      391,60</t>
  </si>
  <si>
    <t>Steinmetz, G.</t>
  </si>
  <si>
    <t>Dhroner Hofberg Riesling GD</t>
  </si>
  <si>
    <t>Dhron</t>
  </si>
  <si>
    <t>Hofberg</t>
  </si>
  <si>
    <t xml:space="preserve">      323,00</t>
  </si>
  <si>
    <t>Neumagener Rosengärtchen Riesling "von den Terrassen"</t>
  </si>
  <si>
    <t>Neumagen</t>
  </si>
  <si>
    <t>Rosengärtchen</t>
  </si>
  <si>
    <t xml:space="preserve">      414,40</t>
  </si>
  <si>
    <t>Piesporter Goldtröpfchen Riesling GP</t>
  </si>
  <si>
    <t>Thanisch Erben Thanisch</t>
  </si>
  <si>
    <t>Bernkasteler Badstube Riesling Kabinett Feinherb</t>
  </si>
  <si>
    <t>Bernkastel</t>
  </si>
  <si>
    <t>Badstube</t>
  </si>
  <si>
    <t xml:space="preserve">      271,00</t>
  </si>
  <si>
    <t>Berncasteler Doctor Riesling Kabinett</t>
  </si>
  <si>
    <t>Doctor</t>
  </si>
  <si>
    <t xml:space="preserve">      369,50</t>
  </si>
  <si>
    <t>Vollenweider</t>
  </si>
  <si>
    <t>Wolfer Goldgrube Riesling Kabinett</t>
  </si>
  <si>
    <t>Wolf</t>
  </si>
  <si>
    <t>Goldgrube</t>
  </si>
  <si>
    <t xml:space="preserve">      236,00</t>
  </si>
  <si>
    <t>Wolfer Goldgrube (Portz) Riesling Spätlese Goldkapsel</t>
  </si>
  <si>
    <t xml:space="preserve">      317,00</t>
  </si>
  <si>
    <t>Wolfer Riesling</t>
  </si>
  <si>
    <t xml:space="preserve">      258,00</t>
  </si>
  <si>
    <t>Weingut O.</t>
  </si>
  <si>
    <t>Trarbacher Ungsberg Riesling Bikiniblick</t>
  </si>
  <si>
    <t>Traben-Trarbach</t>
  </si>
  <si>
    <t>Ungsberg</t>
  </si>
  <si>
    <t xml:space="preserve">      257,00</t>
  </si>
  <si>
    <t>Trarbacher Ungsberg Riesling Grosser Ungsberg</t>
  </si>
  <si>
    <t xml:space="preserve">      371,00</t>
  </si>
  <si>
    <t>Trarbacher Ungsberg Riesling Kabinett</t>
  </si>
  <si>
    <t xml:space="preserve">      254,20</t>
  </si>
  <si>
    <t>Bachrauschen Riesling Brut</t>
  </si>
  <si>
    <t>Musserende vin</t>
  </si>
  <si>
    <t xml:space="preserve">      337,00</t>
  </si>
  <si>
    <t xml:space="preserve">Weis  </t>
  </si>
  <si>
    <t>Mehringer Layet Riesling GG</t>
  </si>
  <si>
    <t>Mehring</t>
  </si>
  <si>
    <t>Layet</t>
  </si>
  <si>
    <t>Weiser-Künstler</t>
  </si>
  <si>
    <t>Enkircher Ellergrub Riesling GE</t>
  </si>
  <si>
    <t>Enkirch</t>
  </si>
  <si>
    <t>Ellergrub</t>
  </si>
  <si>
    <t xml:space="preserve">      516,60</t>
  </si>
  <si>
    <t>Enkircher Ellergrub Riesling Kabinett</t>
  </si>
  <si>
    <t xml:space="preserve">      341,00</t>
  </si>
  <si>
    <t>Enkircher Ellergrub Riesling Spätlese</t>
  </si>
  <si>
    <t xml:space="preserve">      416,10</t>
  </si>
  <si>
    <t>Zilliken</t>
  </si>
  <si>
    <t>Ayler Kupp Riesling GG</t>
  </si>
  <si>
    <t>Ayl</t>
  </si>
  <si>
    <t>Kupp</t>
  </si>
  <si>
    <t xml:space="preserve">      470,10</t>
  </si>
  <si>
    <t>Saarburger Rausch Riesling Auslese AP #10</t>
  </si>
  <si>
    <t>Rausch</t>
  </si>
  <si>
    <t xml:space="preserve">      551,10</t>
  </si>
  <si>
    <t>Saarburger Rausch Riesling Auslese Goldkapsel</t>
  </si>
  <si>
    <t xml:space="preserve">      561,80</t>
  </si>
  <si>
    <t>Saarburger Rausch Riesling Diabas</t>
  </si>
  <si>
    <t xml:space="preserve">      460,10</t>
  </si>
  <si>
    <t>Saarburger Rausch Riesling GG</t>
  </si>
  <si>
    <t xml:space="preserve">      480,10</t>
  </si>
  <si>
    <t>Hofgut Falkenstein</t>
  </si>
  <si>
    <t>Krettnacher Euchariusberg Riesling Kabinett Alte Reben</t>
  </si>
  <si>
    <t>Krettnach</t>
  </si>
  <si>
    <t>Euchariusberg</t>
  </si>
  <si>
    <t xml:space="preserve">      308,90</t>
  </si>
  <si>
    <t>Krettnacher Euchariusberg Riesling Spätlese</t>
  </si>
  <si>
    <t xml:space="preserve">      344,00</t>
  </si>
  <si>
    <t>Niedermenniger Herrenberg Riesling Kabinett trocken</t>
  </si>
  <si>
    <t>Niedermennig</t>
  </si>
  <si>
    <t>Herrenberg</t>
  </si>
  <si>
    <t xml:space="preserve">      303,90</t>
  </si>
  <si>
    <t>Niedermenniger Herrenberg Riesling Spätlese feinherb #11</t>
  </si>
  <si>
    <t xml:space="preserve">      314,00</t>
  </si>
  <si>
    <t>Niedermenniger Herrenberg Riesling Spätlese feinherb #23</t>
  </si>
  <si>
    <t>Lauer</t>
  </si>
  <si>
    <t>Ayler Schonfels Riesling GG Fass 11</t>
  </si>
  <si>
    <t>Schonfels</t>
  </si>
  <si>
    <t xml:space="preserve">      468,70</t>
  </si>
  <si>
    <t>Biebelhausener Feils Riesling GG Fass 13</t>
  </si>
  <si>
    <t>Biebelhausen</t>
  </si>
  <si>
    <t>Feils</t>
  </si>
  <si>
    <t>Ayler Kupp Riesling GG Fass 18</t>
  </si>
  <si>
    <t xml:space="preserve">      468,90</t>
  </si>
  <si>
    <t>Ayler Riesling Fass 6 Senior</t>
  </si>
  <si>
    <t xml:space="preserve">      313,90</t>
  </si>
  <si>
    <t>Ayler Kupp Riesling Kabinett Fass 8</t>
  </si>
  <si>
    <t xml:space="preserve">      323,90</t>
  </si>
  <si>
    <t>Crusius</t>
  </si>
  <si>
    <t>Norheimer In Der Kirschheck Riesling Trocken</t>
  </si>
  <si>
    <t>Nahe</t>
  </si>
  <si>
    <t>Norheim</t>
  </si>
  <si>
    <t>In Der Kirschheck</t>
  </si>
  <si>
    <t xml:space="preserve">      318,50</t>
  </si>
  <si>
    <t>Traiser Mühlberg im Rotenfels Riesling GG</t>
  </si>
  <si>
    <t>Traisen</t>
  </si>
  <si>
    <t>Rotenfels</t>
  </si>
  <si>
    <t xml:space="preserve">      488,00</t>
  </si>
  <si>
    <t>Traiser Rotenfels Riesling Trocken</t>
  </si>
  <si>
    <t xml:space="preserve">      318,20</t>
  </si>
  <si>
    <t>Dönnhoff</t>
  </si>
  <si>
    <t>Kreuznacher Kahlenberg Riesling Trocken</t>
  </si>
  <si>
    <t>Bad Kreuznach</t>
  </si>
  <si>
    <t>Kahlenberg</t>
  </si>
  <si>
    <t xml:space="preserve">      299,90</t>
  </si>
  <si>
    <t>Niederhäuser Hermannshöhle Riesling Auslese</t>
  </si>
  <si>
    <t>Niederhausen</t>
  </si>
  <si>
    <t>Hermannshöhle</t>
  </si>
  <si>
    <t xml:space="preserve">      309,90</t>
  </si>
  <si>
    <t>Niederhäuser Hermannshöhle Riesling GG</t>
  </si>
  <si>
    <t xml:space="preserve">      552,80</t>
  </si>
  <si>
    <t xml:space="preserve">     1188,90</t>
  </si>
  <si>
    <t xml:space="preserve">     2598,90</t>
  </si>
  <si>
    <t>Niederhäuser Hermannshöhle Riesling Spätlese</t>
  </si>
  <si>
    <t xml:space="preserve">      398,50</t>
  </si>
  <si>
    <t>Norheimer Dellchen Riesling GG</t>
  </si>
  <si>
    <t>Dellchen</t>
  </si>
  <si>
    <t>Maks 3 flasker pr pers</t>
  </si>
  <si>
    <t xml:space="preserve">     1068,50</t>
  </si>
  <si>
    <t>Oberhäuser Brücke Riesling Auslese</t>
  </si>
  <si>
    <t>Oberhausen</t>
  </si>
  <si>
    <t>Brücke</t>
  </si>
  <si>
    <t xml:space="preserve">      638,80</t>
  </si>
  <si>
    <t>Oberhäuser Brücke Riesling GG Versteigerungscuvee</t>
  </si>
  <si>
    <t xml:space="preserve">     2599,80</t>
  </si>
  <si>
    <t>Oberhäuser Brücke Riesling Spätlese</t>
  </si>
  <si>
    <t xml:space="preserve">      354,80</t>
  </si>
  <si>
    <t>Oberhäuser Leistenberg Riesling Kabinett</t>
  </si>
  <si>
    <t>Leistenberg</t>
  </si>
  <si>
    <t xml:space="preserve">      239,70</t>
  </si>
  <si>
    <t>Roxheimer Höllenpfad Im Mühlenberg Riesling GG</t>
  </si>
  <si>
    <t>Roxheim</t>
  </si>
  <si>
    <t>Höllenpfad</t>
  </si>
  <si>
    <t xml:space="preserve">      489,10</t>
  </si>
  <si>
    <t>Schlossböckelheimer Felsenberg Riesling GG</t>
  </si>
  <si>
    <t>Schlossböckelheim</t>
  </si>
  <si>
    <t>Felsenberg</t>
  </si>
  <si>
    <t xml:space="preserve">      469,50</t>
  </si>
  <si>
    <t xml:space="preserve">      976,00</t>
  </si>
  <si>
    <t>Emrich-Schönleber</t>
  </si>
  <si>
    <t>Monzinger Frühlingsplätzchen Riesling GG</t>
  </si>
  <si>
    <t>Monzingen</t>
  </si>
  <si>
    <t>Frühlingsplätzchen</t>
  </si>
  <si>
    <t xml:space="preserve">      569,90</t>
  </si>
  <si>
    <t>Monzinger Halenberg Riesling GG</t>
  </si>
  <si>
    <t>Halenberg</t>
  </si>
  <si>
    <t xml:space="preserve">      588,00</t>
  </si>
  <si>
    <t>Kruger-Rumpf</t>
  </si>
  <si>
    <t>Bingerbrück Abtei Rupertsberg 1937 Riesling Trocken</t>
  </si>
  <si>
    <t>Bingerbrück</t>
  </si>
  <si>
    <t>Abtei Rupertsberg</t>
  </si>
  <si>
    <t xml:space="preserve">Münsterer Dautenpflänzer Im Langenberg Riesling Feinherb </t>
  </si>
  <si>
    <t>Münster-Sarmsheim</t>
  </si>
  <si>
    <t>Dautenpflänzer</t>
  </si>
  <si>
    <t xml:space="preserve">      364,00</t>
  </si>
  <si>
    <t>Schneider, J.</t>
  </si>
  <si>
    <t>Niederhäuser Felsensteyer Riesling Trocken</t>
  </si>
  <si>
    <t>Felsensteyer</t>
  </si>
  <si>
    <t>Niederhäuser Hermannshöhle Riesling Auslese Junior</t>
  </si>
  <si>
    <t xml:space="preserve">      260,00</t>
  </si>
  <si>
    <t>Niederhäuser Hermannshöhle Riesling Beerenauslese</t>
  </si>
  <si>
    <t xml:space="preserve">      740,00</t>
  </si>
  <si>
    <t>Niederhäuser Hermannshöhle Riesling Trocken Magnus</t>
  </si>
  <si>
    <t xml:space="preserve">      385,00</t>
  </si>
  <si>
    <t>Niederhäuser Klamm Riesling Trocken</t>
  </si>
  <si>
    <t>Klamm</t>
  </si>
  <si>
    <t xml:space="preserve">      355,00</t>
  </si>
  <si>
    <t>Niederhäuser Klamm Riesling Trockenbeerenauslese</t>
  </si>
  <si>
    <t xml:space="preserve">     1190,00</t>
  </si>
  <si>
    <t xml:space="preserve">Norheimer Dellchen Riesling Trocken </t>
  </si>
  <si>
    <t xml:space="preserve">      360,00</t>
  </si>
  <si>
    <t>Schäfer-Fröhlich</t>
  </si>
  <si>
    <t>Bockenauer Felseneck Riesling Feinherb</t>
  </si>
  <si>
    <t>Bockenau</t>
  </si>
  <si>
    <t>Felseneck</t>
  </si>
  <si>
    <t xml:space="preserve">      675,00</t>
  </si>
  <si>
    <t>Bockenauer Felseneck Riesling GG</t>
  </si>
  <si>
    <t xml:space="preserve">     1449,30</t>
  </si>
  <si>
    <t>Bockenauer Stromberg Riesling GG</t>
  </si>
  <si>
    <t>Stromberg</t>
  </si>
  <si>
    <t xml:space="preserve">      619,00</t>
  </si>
  <si>
    <t xml:space="preserve">      608,70</t>
  </si>
  <si>
    <t xml:space="preserve">      638,10</t>
  </si>
  <si>
    <t>Schlossböckelheimer Kupfergrube Riesling GG</t>
  </si>
  <si>
    <t>Kupfergrube</t>
  </si>
  <si>
    <t xml:space="preserve">      624,60</t>
  </si>
  <si>
    <t>Acham-Magin</t>
  </si>
  <si>
    <t>Deidesheimer Mäushöhle Riesling Trocken</t>
  </si>
  <si>
    <t>Pfalz</t>
  </si>
  <si>
    <t>Deidesheim</t>
  </si>
  <si>
    <t>Mäushöhle</t>
  </si>
  <si>
    <t xml:space="preserve">      224,90</t>
  </si>
  <si>
    <t>Forster Jesuitengarten Riesling GG</t>
  </si>
  <si>
    <t>Forst</t>
  </si>
  <si>
    <t>Jesuitengarten</t>
  </si>
  <si>
    <t xml:space="preserve">      365,50</t>
  </si>
  <si>
    <t xml:space="preserve">      755,50</t>
  </si>
  <si>
    <t>Forster Kirchenstück Riesling GG</t>
  </si>
  <si>
    <t>Kirchenstück</t>
  </si>
  <si>
    <t xml:space="preserve">      364,90</t>
  </si>
  <si>
    <t>Forster Musenhang Riesling Trocken</t>
  </si>
  <si>
    <t>Musenhang</t>
  </si>
  <si>
    <t>Forster Pechstein Riesling GG</t>
  </si>
  <si>
    <t>Pechstein</t>
  </si>
  <si>
    <t>Forster Ungeheuer Riesling GG</t>
  </si>
  <si>
    <t>Ungeheuer</t>
  </si>
  <si>
    <t>Christmann</t>
  </si>
  <si>
    <t>Gimmeldinger Meerspinne Riesling GG</t>
  </si>
  <si>
    <t>Gimmeldingen</t>
  </si>
  <si>
    <t>Meerspinne</t>
  </si>
  <si>
    <t xml:space="preserve">      534,10</t>
  </si>
  <si>
    <t>Königsbacher Idig Riesling GG</t>
  </si>
  <si>
    <t>Königsbach</t>
  </si>
  <si>
    <t>Idig</t>
  </si>
  <si>
    <t>Königsbacher Idig Spätburgunder GG</t>
  </si>
  <si>
    <t xml:space="preserve">      635,00</t>
  </si>
  <si>
    <t>Königsbacher Riesling Trocken</t>
  </si>
  <si>
    <t xml:space="preserve">      279,00</t>
  </si>
  <si>
    <t>Königsbacher Ölberg Riesling EL</t>
  </si>
  <si>
    <t>Ölberg</t>
  </si>
  <si>
    <t xml:space="preserve">      338,50</t>
  </si>
  <si>
    <t>Neustadter V Riesling Trocken</t>
  </si>
  <si>
    <t>Neustadt</t>
  </si>
  <si>
    <t xml:space="preserve">      286,00</t>
  </si>
  <si>
    <t>Mosbacher</t>
  </si>
  <si>
    <t>Deidesheimer Kieselberg Riesling GG</t>
  </si>
  <si>
    <t>Kieselberg</t>
  </si>
  <si>
    <t xml:space="preserve">      358,50</t>
  </si>
  <si>
    <t xml:space="preserve">      746,50</t>
  </si>
  <si>
    <t xml:space="preserve">     1662,90</t>
  </si>
  <si>
    <t>Deidesheimer Langenmorgen Riesling GG</t>
  </si>
  <si>
    <t>Langenmorgen</t>
  </si>
  <si>
    <t xml:space="preserve">      398,90</t>
  </si>
  <si>
    <t xml:space="preserve">      828,90</t>
  </si>
  <si>
    <t xml:space="preserve">     1899,80</t>
  </si>
  <si>
    <t xml:space="preserve">      229,70</t>
  </si>
  <si>
    <t>Deidesheimer Paradiesgarten Riesling Trocken</t>
  </si>
  <si>
    <t>Paradiesgarten</t>
  </si>
  <si>
    <t xml:space="preserve">      248,80</t>
  </si>
  <si>
    <t>Forster Freundstück Riesling GG</t>
  </si>
  <si>
    <t>Freundstück</t>
  </si>
  <si>
    <t xml:space="preserve">      349,50</t>
  </si>
  <si>
    <t xml:space="preserve">      730,50</t>
  </si>
  <si>
    <t xml:space="preserve">     1683,30</t>
  </si>
  <si>
    <t xml:space="preserve">      244,50</t>
  </si>
  <si>
    <t>Forster Riesling Basalt Trocken</t>
  </si>
  <si>
    <t xml:space="preserve">      276,30</t>
  </si>
  <si>
    <t xml:space="preserve">      573,50</t>
  </si>
  <si>
    <t>Wachenheimer Riesling Buntsandstein Trocken</t>
  </si>
  <si>
    <t>Wachenheim</t>
  </si>
  <si>
    <t xml:space="preserve">      263,90</t>
  </si>
  <si>
    <t xml:space="preserve">      548,80</t>
  </si>
  <si>
    <t>Deidesheimer Riesling Kalkstein Trocken</t>
  </si>
  <si>
    <t xml:space="preserve">      264,90</t>
  </si>
  <si>
    <t xml:space="preserve">      558,50</t>
  </si>
  <si>
    <t>Rebholz</t>
  </si>
  <si>
    <t>Birkweiler Kastanienbusch Riesling GG</t>
  </si>
  <si>
    <t>Birkweil</t>
  </si>
  <si>
    <t>Kastanienbusch</t>
  </si>
  <si>
    <t xml:space="preserve">      649,70</t>
  </si>
  <si>
    <t>Rings</t>
  </si>
  <si>
    <t>Ungsteiner Weilberg Riesling GG</t>
  </si>
  <si>
    <t>Ungstein</t>
  </si>
  <si>
    <t>Weilberg</t>
  </si>
  <si>
    <t xml:space="preserve">      471,10</t>
  </si>
  <si>
    <t>Winning</t>
  </si>
  <si>
    <t xml:space="preserve">      459,50</t>
  </si>
  <si>
    <t xml:space="preserve">      465,00</t>
  </si>
  <si>
    <t xml:space="preserve">      694,70</t>
  </si>
  <si>
    <t xml:space="preserve">      859,70</t>
  </si>
  <si>
    <t xml:space="preserve">      694,90</t>
  </si>
  <si>
    <t>Riesling Marmar Trocken</t>
  </si>
  <si>
    <t xml:space="preserve">      969,00</t>
  </si>
  <si>
    <t>Keller</t>
  </si>
  <si>
    <t>Dalsheimer Bürgel Spätburgunder GG</t>
  </si>
  <si>
    <t>Rheinhessen</t>
  </si>
  <si>
    <t>Dalsheim</t>
  </si>
  <si>
    <t>Bürgel</t>
  </si>
  <si>
    <t xml:space="preserve">      650,00</t>
  </si>
  <si>
    <t>Nieder-Flörsheimer Frauenberg Spätburgunder GG</t>
  </si>
  <si>
    <t>Nieder-Flörsheim</t>
  </si>
  <si>
    <t>Frauenberg</t>
  </si>
  <si>
    <t xml:space="preserve">      785,00</t>
  </si>
  <si>
    <t>Spätburgunder S</t>
  </si>
  <si>
    <t xml:space="preserve">      425,00</t>
  </si>
  <si>
    <t>Binger Riesling Trocken</t>
  </si>
  <si>
    <t>Bingen</t>
  </si>
  <si>
    <t xml:space="preserve">      230,00</t>
  </si>
  <si>
    <t>Binger Scharlachberg Riesling GG</t>
  </si>
  <si>
    <t>Scharlachberg</t>
  </si>
  <si>
    <t>Wagner-Stempel</t>
  </si>
  <si>
    <t>Riesling EMT Trocken</t>
  </si>
  <si>
    <t xml:space="preserve">     1261,30</t>
  </si>
  <si>
    <t>Wittmann</t>
  </si>
  <si>
    <t>Riesling La Borne Trocken</t>
  </si>
  <si>
    <t>Westhofen</t>
  </si>
  <si>
    <t>Morstein</t>
  </si>
  <si>
    <t xml:space="preserve">     3962,50</t>
  </si>
  <si>
    <t>Westhofener Aulerde Riesling GG</t>
  </si>
  <si>
    <t>Aulerde</t>
  </si>
  <si>
    <t xml:space="preserve">      525,00</t>
  </si>
  <si>
    <t>Westhofener Brunnenhäuschen Riesling GG</t>
  </si>
  <si>
    <t>Brunnenhäuschen</t>
  </si>
  <si>
    <t xml:space="preserve">      701,20</t>
  </si>
  <si>
    <t>Hofmann</t>
  </si>
  <si>
    <t>Röttinger Feuerstein Tauberschwarz Trocken</t>
  </si>
  <si>
    <t>Taubertal</t>
  </si>
  <si>
    <t>Röttingen</t>
  </si>
  <si>
    <t>Feuerstein</t>
  </si>
  <si>
    <t xml:space="preserve">      254,90</t>
  </si>
  <si>
    <t>Figula</t>
  </si>
  <si>
    <t>Gella Olaszriesling</t>
  </si>
  <si>
    <t>Ungarn</t>
  </si>
  <si>
    <t>Balatonfüred-Csopak</t>
  </si>
  <si>
    <t>Gella</t>
  </si>
  <si>
    <t xml:space="preserve">      396,40</t>
  </si>
  <si>
    <t>Köves</t>
  </si>
  <si>
    <t xml:space="preserve">     1485,00</t>
  </si>
  <si>
    <t>St. Andrea</t>
  </si>
  <si>
    <t>Egri Bikaver Hangacs Grand Superior</t>
  </si>
  <si>
    <t>Eger</t>
  </si>
  <si>
    <t>Hangacs</t>
  </si>
  <si>
    <t xml:space="preserve">      362,20</t>
  </si>
  <si>
    <t>Egri Bikaver Igazan Grand Superior</t>
  </si>
  <si>
    <t>Igazan</t>
  </si>
  <si>
    <t xml:space="preserve">      528,30</t>
  </si>
  <si>
    <t>Balassa</t>
  </si>
  <si>
    <t>Mezes-Maly Villö Furmint</t>
  </si>
  <si>
    <t>Tokaji</t>
  </si>
  <si>
    <t>Mezes-Maly Villö</t>
  </si>
  <si>
    <t xml:space="preserve">      530,60</t>
  </si>
  <si>
    <t>Tokaji Szamorodni Edes Bomboly</t>
  </si>
  <si>
    <t>Bomboly</t>
  </si>
  <si>
    <t xml:space="preserve">      513,30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</si>
</sst>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#,##0_ ;\-#,##0\ "/>
  </numFmts>
  <fonts count="7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4">
    <xf numFmtId="0" fontId="0" fillId="0" borderId="0" xfId="0"/>
    <xf numFmtId="0" fontId="4" fillId="0" borderId="0" xfId="0" applyFont="1"/>
    <xf numFmtId="0" fontId="4" fillId="2" borderId="0" xfId="0" applyFont="1" applyFill="1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164" fontId="4" fillId="0" borderId="0" xfId="1" applyFont="1" applyAlignment="1">
      <alignment wrapText="1"/>
    </xf>
    <xf numFmtId="165" fontId="1" fillId="0" borderId="0" xfId="1" applyNumberFormat="1" applyFont="1" applyAlignment="1">
      <alignment vertical="top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1" fillId="0" borderId="1" xfId="0" applyFont="1" applyBorder="1" applyAlignment="1">
      <alignment vertical="top" wrapText="1"/>
    </xf>
    <xf numFmtId="165" fontId="4" fillId="0" borderId="0" xfId="1" applyNumberFormat="1" applyFont="1" applyAlignment="1">
      <alignment horizontal="center" wrapText="1"/>
    </xf>
    <xf numFmtId="0" fontId="4" fillId="0" borderId="0" xfId="0" applyFont="1" applyAlignment="1">
      <alignment horizontal="left" wrapText="1"/>
    </xf>
    <xf numFmtId="164" fontId="3" fillId="0" borderId="0" xfId="1" applyFont="1" applyAlignment="1">
      <alignment wrapText="1"/>
    </xf>
    <xf numFmtId="165" fontId="4" fillId="0" borderId="0" xfId="1" applyNumberFormat="1" applyFont="1" applyFill="1" applyAlignment="1">
      <alignment horizontal="center" wrapText="1"/>
    </xf>
    <xf numFmtId="164" fontId="1" fillId="0" borderId="0" xfId="1" applyFont="1" applyAlignment="1">
      <alignment horizontal="right" vertical="top" wrapText="1"/>
    </xf>
    <xf numFmtId="164" fontId="4" fillId="0" borderId="0" xfId="1" applyFont="1" applyAlignment="1">
      <alignment horizontal="right" wrapText="1"/>
    </xf>
    <xf numFmtId="164" fontId="4" fillId="0" borderId="0" xfId="1" applyFont="1" applyFill="1" applyAlignment="1">
      <alignment horizontal="right" wrapText="1"/>
    </xf>
    <xf numFmtId="165" fontId="4" fillId="0" borderId="0" xfId="1" applyNumberFormat="1" applyFont="1" applyAlignment="1">
      <alignment horizontal="right" wrapText="1"/>
    </xf>
    <xf numFmtId="165" fontId="3" fillId="0" borderId="0" xfId="1" applyNumberFormat="1" applyFont="1" applyAlignment="1">
      <alignment horizontal="right" wrapText="1"/>
    </xf>
    <xf numFmtId="0" fontId="5" fillId="0" borderId="0" xfId="0" applyFont="1" applyAlignment="1">
      <alignment horizontal="left" vertical="top" wrapText="1"/>
    </xf>
    <xf numFmtId="164" fontId="4" fillId="0" borderId="0" xfId="1" applyFont="1" applyFill="1" applyAlignment="1">
      <alignment horizontal="center" wrapText="1"/>
    </xf>
    <xf numFmtId="165" fontId="4" fillId="0" borderId="0" xfId="0" applyNumberFormat="1" applyFont="1" applyAlignment="1">
      <alignment horizontal="center" wrapText="1"/>
    </xf>
  </cellXfs>
  <cellStyles count="2">
    <cellStyle name="Komma" xfId="1" builtinId="3"/>
    <cellStyle name="Normal" xfId="0" builtinId="0"/>
  </cellStyles>
  <dxfs count="60"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#,##0_ ;\-#,##0\ 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#,##0_ ;\-#,##0\ 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#,##0_ ;\-#,##0\ 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#,##0_ ;\-#,##0\ 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theme="2" tint="-0.499984740745262"/>
        </bottom>
      </border>
    </dxf>
    <dxf>
      <border outline="0">
        <top style="thin">
          <color theme="2" tint="-0.499984740745262"/>
        </top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indexed="65"/>
        </patternFill>
      </fill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2" displayName="Tabell2" ref="A1:X199" totalsRowCount="1" headerRowDxfId="51" dataDxfId="50" headerRowBorderDxfId="48" tableBorderDxfId="49">
  <autoFilter ref="A1:X198" xr:uid="{00000000-0009-0000-0100-000002000000}"/>
  <tableColumns count="24">
    <tableColumn id="24" xr3:uid="{00000000-0010-0000-0000-000018000000}" name="Kommentar" dataDxfId="46" totalsRowDxfId="47"/>
    <tableColumn id="2" xr3:uid="{00000000-0010-0000-0000-000002000000}" name="Artikkelnr." dataDxfId="44" totalsRowDxfId="45"/>
    <tableColumn id="3" xr3:uid="{00000000-0010-0000-0000-000003000000}" name="Produsent" dataDxfId="42" totalsRowDxfId="43"/>
    <tableColumn id="4" xr3:uid="{00000000-0010-0000-0000-000004000000}" name="Produktnavn" dataDxfId="40" totalsRowDxfId="41"/>
    <tableColumn id="5" xr3:uid="{00000000-0010-0000-0000-000005000000}" name="Årgang" dataDxfId="38" totalsRowDxfId="39"/>
    <tableColumn id="6" xr3:uid="{00000000-0010-0000-0000-000006000000}" name="Land" dataDxfId="36" totalsRowDxfId="37"/>
    <tableColumn id="14" xr3:uid="{00000000-0010-0000-0000-00000E000000}" name="Distrikt" dataDxfId="34" totalsRowDxfId="35"/>
    <tableColumn id="7" xr3:uid="{00000000-0010-0000-0000-000007000000}" name="Kommune" dataDxfId="32" totalsRowDxfId="33"/>
    <tableColumn id="9" xr3:uid="{00000000-0010-0000-0000-000009000000}" name="Vinmark" dataDxfId="30" totalsRowDxfId="31"/>
    <tableColumn id="10" xr3:uid="{00000000-0010-0000-0000-00000A000000}" name="Varetype" dataDxfId="28" totalsRowDxfId="29" totalsRowCellStyle="Komma"/>
    <tableColumn id="13" xr3:uid="{00000000-0010-0000-0000-00000D000000}" name="Volum" dataDxfId="26" totalsRowDxfId="27" dataCellStyle="Komma" totalsRowCellStyle="Komma"/>
    <tableColumn id="8" xr3:uid="{00000000-0010-0000-0000-000008000000}" name="Salgspris" dataDxfId="24" totalsRowDxfId="25" dataCellStyle="Komma" totalsRowCellStyle="Komma"/>
    <tableColumn id="12" xr3:uid="{00000000-0010-0000-0000-00000C000000}" name="Totalt antall" dataDxfId="22" totalsRowDxfId="23" dataCellStyle="Komma" totalsRowCellStyle="Komma"/>
    <tableColumn id="15" xr3:uid="{4E7052BC-BA80-4E06-A125-FC4B40B7A045}" name="Kolonne1" dataDxfId="20" totalsRowDxfId="21" dataCellStyle="Komma">
      <calculatedColumnFormula>Tabell2[[#This Row],[Salgspris]]*Tabell2[[#This Row],[Totalt antall]]</calculatedColumnFormula>
    </tableColumn>
    <tableColumn id="17" xr3:uid="{00000000-0010-0000-0000-000011000000}" name="Fordeling Oslo, Aker Brygge" dataDxfId="18" totalsRowDxfId="19"/>
    <tableColumn id="18" xr3:uid="{00000000-0010-0000-0000-000012000000}" name="Fordeling Bergen, Valkendorfsgt." dataDxfId="16" totalsRowDxfId="17"/>
    <tableColumn id="19" xr3:uid="{00000000-0010-0000-0000-000013000000}" name="Fordeling Hamar" dataDxfId="14" totalsRowDxfId="15"/>
    <tableColumn id="20" xr3:uid="{00000000-0010-0000-0000-000014000000}" name="Fordeling Sandnes, Sentrum" dataDxfId="12" totalsRowDxfId="13"/>
    <tableColumn id="21" xr3:uid="{00000000-0010-0000-0000-000015000000}" name="Fordeling Oslo, CC Vest" dataDxfId="10" totalsRowDxfId="11"/>
    <tableColumn id="22" xr3:uid="{00000000-0010-0000-0000-000016000000}" name="Fordeling Sandefjord" dataDxfId="8" totalsRowDxfId="9"/>
    <tableColumn id="23" xr3:uid="{00000000-0010-0000-0000-000017000000}" name="Fordeling Trondheim, Valentinlyst" dataDxfId="6" totalsRowDxfId="7"/>
    <tableColumn id="1" xr3:uid="{00000000-0010-0000-0000-000001000000}" name="Post/ På dør" dataDxfId="4" totalsRowDxfId="5"/>
    <tableColumn id="11" xr3:uid="{00000000-0010-0000-0000-00000B000000}" name="Kvotering " dataDxfId="2" totalsRowDxfId="3"/>
    <tableColumn id="26" xr3:uid="{00000000-0010-0000-0000-00001A000000}" name="Kvotering nettbutikk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U253"/>
  <sheetViews>
    <sheetView tabSelected="1" topLeftCell="J1" zoomScale="70" zoomScaleNormal="70" zoomScalePageLayoutView="70" workbookViewId="0">
      <selection activeCell="U1" sqref="U1"/>
    </sheetView>
  </sheetViews>
  <sheetFormatPr defaultColWidth="11.42578125" defaultRowHeight="15.6"/>
  <cols>
    <col min="1" max="1" width="8.140625" style="5" customWidth="1"/>
    <col min="2" max="2" width="13.7109375" style="13" customWidth="1"/>
    <col min="3" max="3" width="19.5703125" style="13" customWidth="1"/>
    <col min="4" max="4" width="21.42578125" style="13" customWidth="1"/>
    <col min="5" max="5" width="11" style="13" customWidth="1"/>
    <col min="6" max="6" width="14.5703125" style="13" customWidth="1"/>
    <col min="7" max="8" width="16" style="13" customWidth="1"/>
    <col min="9" max="9" width="10.140625" style="13" customWidth="1"/>
    <col min="10" max="10" width="10.5703125" style="7" customWidth="1"/>
    <col min="11" max="12" width="11.42578125" style="19"/>
    <col min="13" max="13" width="8.7109375" style="6" customWidth="1"/>
    <col min="14" max="14" width="12.140625" style="6" customWidth="1"/>
    <col min="15" max="15" width="10.140625" style="6" customWidth="1"/>
    <col min="16" max="16" width="9.5703125" style="6" customWidth="1"/>
    <col min="17" max="18" width="10.140625" style="6" customWidth="1"/>
    <col min="19" max="20" width="10.42578125" style="6" customWidth="1"/>
    <col min="21" max="21" width="12.42578125" style="6" customWidth="1"/>
    <col min="22" max="22" width="12.140625" style="10" customWidth="1"/>
    <col min="23" max="23" width="14.28515625" style="1" customWidth="1"/>
    <col min="24" max="16384" width="11.42578125" style="1"/>
  </cols>
  <sheetData>
    <row r="1" spans="1:24" ht="42" customHeight="1">
      <c r="A1" s="1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16" t="s">
        <v>10</v>
      </c>
      <c r="L1" s="16" t="s">
        <v>11</v>
      </c>
      <c r="M1" s="8" t="s">
        <v>12</v>
      </c>
      <c r="N1" s="8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</row>
    <row r="2" spans="1:24" ht="47.45" customHeight="1">
      <c r="B2" s="13">
        <v>11778001</v>
      </c>
      <c r="C2" s="13" t="s">
        <v>24</v>
      </c>
      <c r="D2" s="13" t="s">
        <v>24</v>
      </c>
      <c r="E2" s="13">
        <v>2016</v>
      </c>
      <c r="F2" s="13" t="s">
        <v>25</v>
      </c>
      <c r="G2" s="13" t="s">
        <v>26</v>
      </c>
      <c r="H2" s="13" t="s">
        <v>27</v>
      </c>
      <c r="J2" s="5" t="s">
        <v>28</v>
      </c>
      <c r="K2" s="17">
        <v>0.75</v>
      </c>
      <c r="L2" s="17" t="s">
        <v>29</v>
      </c>
      <c r="M2" s="12">
        <v>480</v>
      </c>
      <c r="N2" s="12">
        <f>Tabell2[[#This Row],[Salgspris]]*Tabell2[[#This Row],[Totalt antall]]</f>
        <v>422736</v>
      </c>
      <c r="O2" s="5">
        <v>240</v>
      </c>
      <c r="P2" s="5">
        <v>24</v>
      </c>
      <c r="Q2" s="5">
        <v>24</v>
      </c>
      <c r="R2" s="5">
        <v>60</v>
      </c>
      <c r="S2" s="5">
        <v>60</v>
      </c>
      <c r="T2" s="5">
        <v>24</v>
      </c>
      <c r="U2" s="5">
        <v>48</v>
      </c>
      <c r="V2" s="5"/>
      <c r="W2" s="21"/>
      <c r="X2" s="10"/>
    </row>
    <row r="3" spans="1:24" ht="47.45" customHeight="1">
      <c r="B3" s="13">
        <v>11777301</v>
      </c>
      <c r="C3" s="13" t="s">
        <v>30</v>
      </c>
      <c r="D3" s="13" t="s">
        <v>30</v>
      </c>
      <c r="E3" s="13">
        <v>2016</v>
      </c>
      <c r="F3" s="13" t="s">
        <v>25</v>
      </c>
      <c r="G3" s="13" t="s">
        <v>26</v>
      </c>
      <c r="H3" s="13" t="s">
        <v>31</v>
      </c>
      <c r="J3" s="5" t="s">
        <v>28</v>
      </c>
      <c r="K3" s="17">
        <v>0.75</v>
      </c>
      <c r="L3" s="17" t="s">
        <v>32</v>
      </c>
      <c r="M3" s="12">
        <v>600</v>
      </c>
      <c r="N3" s="12">
        <f>Tabell2[[#This Row],[Salgspris]]*Tabell2[[#This Row],[Totalt antall]]</f>
        <v>216840</v>
      </c>
      <c r="O3" s="5">
        <v>240</v>
      </c>
      <c r="P3" s="5">
        <v>60</v>
      </c>
      <c r="Q3" s="5">
        <v>60</v>
      </c>
      <c r="R3" s="5">
        <v>60</v>
      </c>
      <c r="S3" s="5">
        <v>60</v>
      </c>
      <c r="T3" s="5">
        <v>60</v>
      </c>
      <c r="U3" s="5">
        <v>60</v>
      </c>
      <c r="V3" s="5"/>
      <c r="W3" s="21"/>
      <c r="X3" s="10"/>
    </row>
    <row r="4" spans="1:24" ht="47.45" customHeight="1">
      <c r="B4" s="13">
        <v>11777401</v>
      </c>
      <c r="C4" s="13" t="s">
        <v>33</v>
      </c>
      <c r="D4" s="13" t="s">
        <v>33</v>
      </c>
      <c r="E4" s="13">
        <v>2016</v>
      </c>
      <c r="F4" s="13" t="s">
        <v>25</v>
      </c>
      <c r="G4" s="13" t="s">
        <v>26</v>
      </c>
      <c r="H4" s="13" t="s">
        <v>34</v>
      </c>
      <c r="J4" s="5" t="s">
        <v>28</v>
      </c>
      <c r="K4" s="17">
        <v>0.75</v>
      </c>
      <c r="L4" s="17" t="s">
        <v>35</v>
      </c>
      <c r="M4" s="12">
        <v>240</v>
      </c>
      <c r="N4" s="12">
        <f>Tabell2[[#This Row],[Salgspris]]*Tabell2[[#This Row],[Totalt antall]]</f>
        <v>349536</v>
      </c>
      <c r="O4" s="5">
        <v>120</v>
      </c>
      <c r="P4" s="5"/>
      <c r="Q4" s="5"/>
      <c r="R4" s="5">
        <v>36</v>
      </c>
      <c r="S4" s="5">
        <v>36</v>
      </c>
      <c r="T4" s="5"/>
      <c r="U4" s="5"/>
      <c r="V4" s="5">
        <v>48</v>
      </c>
      <c r="W4" s="9"/>
      <c r="X4" s="10"/>
    </row>
    <row r="5" spans="1:24" ht="47.45" customHeight="1">
      <c r="B5" s="13">
        <v>11779801</v>
      </c>
      <c r="C5" s="13" t="s">
        <v>36</v>
      </c>
      <c r="D5" s="13" t="s">
        <v>37</v>
      </c>
      <c r="E5" s="13">
        <v>2016</v>
      </c>
      <c r="F5" s="13" t="s">
        <v>25</v>
      </c>
      <c r="G5" s="13" t="s">
        <v>26</v>
      </c>
      <c r="H5" s="13" t="s">
        <v>27</v>
      </c>
      <c r="J5" s="5" t="s">
        <v>28</v>
      </c>
      <c r="K5" s="17">
        <v>0.75</v>
      </c>
      <c r="L5" s="17" t="s">
        <v>38</v>
      </c>
      <c r="M5" s="12">
        <v>360</v>
      </c>
      <c r="N5" s="12">
        <f>Tabell2[[#This Row],[Salgspris]]*Tabell2[[#This Row],[Totalt antall]]</f>
        <v>138924</v>
      </c>
      <c r="O5" s="5">
        <v>156</v>
      </c>
      <c r="P5" s="5"/>
      <c r="Q5" s="5">
        <v>24</v>
      </c>
      <c r="R5" s="5">
        <v>60</v>
      </c>
      <c r="S5" s="5">
        <v>60</v>
      </c>
      <c r="T5" s="5">
        <v>24</v>
      </c>
      <c r="U5" s="5">
        <v>24</v>
      </c>
      <c r="V5" s="5">
        <v>12</v>
      </c>
      <c r="W5" s="9"/>
      <c r="X5" s="10"/>
    </row>
    <row r="6" spans="1:24" ht="47.45" customHeight="1">
      <c r="B6" s="13">
        <v>11787501</v>
      </c>
      <c r="C6" s="13" t="s">
        <v>36</v>
      </c>
      <c r="D6" s="13" t="s">
        <v>36</v>
      </c>
      <c r="E6" s="13">
        <v>2016</v>
      </c>
      <c r="F6" s="13" t="s">
        <v>25</v>
      </c>
      <c r="G6" s="13" t="s">
        <v>26</v>
      </c>
      <c r="H6" s="13" t="s">
        <v>27</v>
      </c>
      <c r="J6" s="5" t="s">
        <v>28</v>
      </c>
      <c r="K6" s="17">
        <v>0.75</v>
      </c>
      <c r="L6" s="17" t="s">
        <v>39</v>
      </c>
      <c r="M6" s="12">
        <v>240</v>
      </c>
      <c r="N6" s="12">
        <f>Tabell2[[#This Row],[Salgspris]]*Tabell2[[#This Row],[Totalt antall]]</f>
        <v>189624</v>
      </c>
      <c r="O6" s="5">
        <v>96</v>
      </c>
      <c r="P6" s="5">
        <v>36</v>
      </c>
      <c r="Q6" s="5"/>
      <c r="R6" s="5">
        <v>36</v>
      </c>
      <c r="S6" s="5">
        <v>36</v>
      </c>
      <c r="T6" s="5">
        <v>24</v>
      </c>
      <c r="U6" s="5"/>
      <c r="V6" s="5">
        <v>12</v>
      </c>
      <c r="W6" s="9"/>
      <c r="X6" s="10"/>
    </row>
    <row r="7" spans="1:24" ht="47.45" customHeight="1">
      <c r="B7" s="13">
        <v>11449001</v>
      </c>
      <c r="C7" s="13" t="s">
        <v>40</v>
      </c>
      <c r="D7" s="13" t="s">
        <v>40</v>
      </c>
      <c r="E7" s="13">
        <v>2016</v>
      </c>
      <c r="F7" s="13" t="s">
        <v>25</v>
      </c>
      <c r="G7" s="13" t="s">
        <v>26</v>
      </c>
      <c r="H7" s="13" t="s">
        <v>41</v>
      </c>
      <c r="J7" s="5" t="s">
        <v>28</v>
      </c>
      <c r="K7" s="17">
        <v>0.75</v>
      </c>
      <c r="L7" s="17" t="s">
        <v>42</v>
      </c>
      <c r="M7" s="12">
        <v>180</v>
      </c>
      <c r="N7" s="12">
        <f>Tabell2[[#This Row],[Salgspris]]*Tabell2[[#This Row],[Totalt antall]]</f>
        <v>194597.99999999997</v>
      </c>
      <c r="O7" s="5">
        <v>72</v>
      </c>
      <c r="P7" s="5">
        <v>24</v>
      </c>
      <c r="Q7" s="5">
        <v>12</v>
      </c>
      <c r="R7" s="5">
        <v>24</v>
      </c>
      <c r="S7" s="5">
        <v>24</v>
      </c>
      <c r="T7" s="5">
        <v>12</v>
      </c>
      <c r="U7" s="5">
        <v>12</v>
      </c>
      <c r="V7" s="5"/>
      <c r="W7" s="9"/>
      <c r="X7" s="10" t="s">
        <v>43</v>
      </c>
    </row>
    <row r="8" spans="1:24" ht="47.45" customHeight="1">
      <c r="B8" s="13">
        <v>11777501</v>
      </c>
      <c r="C8" s="13" t="s">
        <v>44</v>
      </c>
      <c r="D8" s="13" t="s">
        <v>44</v>
      </c>
      <c r="E8" s="13">
        <v>2016</v>
      </c>
      <c r="F8" s="13" t="s">
        <v>25</v>
      </c>
      <c r="G8" s="13" t="s">
        <v>26</v>
      </c>
      <c r="H8" s="13" t="s">
        <v>31</v>
      </c>
      <c r="J8" s="5" t="s">
        <v>28</v>
      </c>
      <c r="K8" s="17">
        <v>0.75</v>
      </c>
      <c r="L8" s="17" t="s">
        <v>45</v>
      </c>
      <c r="M8" s="12">
        <v>360</v>
      </c>
      <c r="N8" s="12">
        <f>Tabell2[[#This Row],[Salgspris]]*Tabell2[[#This Row],[Totalt antall]]</f>
        <v>203184</v>
      </c>
      <c r="O8" s="5">
        <v>132</v>
      </c>
      <c r="P8" s="5">
        <v>48</v>
      </c>
      <c r="Q8" s="5">
        <v>24</v>
      </c>
      <c r="R8" s="5">
        <v>48</v>
      </c>
      <c r="S8" s="5">
        <v>48</v>
      </c>
      <c r="T8" s="5">
        <v>24</v>
      </c>
      <c r="U8" s="5">
        <v>24</v>
      </c>
      <c r="V8" s="5">
        <v>12</v>
      </c>
      <c r="W8" s="9"/>
      <c r="X8" s="10"/>
    </row>
    <row r="9" spans="1:24" ht="47.45" customHeight="1">
      <c r="B9" s="13">
        <v>11775405</v>
      </c>
      <c r="C9" s="13" t="s">
        <v>46</v>
      </c>
      <c r="D9" s="13" t="s">
        <v>46</v>
      </c>
      <c r="E9" s="13">
        <v>2016</v>
      </c>
      <c r="F9" s="13" t="s">
        <v>25</v>
      </c>
      <c r="G9" s="13" t="s">
        <v>26</v>
      </c>
      <c r="H9" s="13" t="s">
        <v>31</v>
      </c>
      <c r="J9" s="5" t="s">
        <v>28</v>
      </c>
      <c r="K9" s="17">
        <v>1.5</v>
      </c>
      <c r="L9" s="17" t="s">
        <v>47</v>
      </c>
      <c r="M9" s="12">
        <v>46</v>
      </c>
      <c r="N9" s="12">
        <f>Tabell2[[#This Row],[Salgspris]]*Tabell2[[#This Row],[Totalt antall]]</f>
        <v>39100</v>
      </c>
      <c r="O9" s="5">
        <v>25</v>
      </c>
      <c r="P9" s="5">
        <v>4</v>
      </c>
      <c r="Q9" s="5">
        <v>3</v>
      </c>
      <c r="R9" s="5">
        <v>4</v>
      </c>
      <c r="S9" s="5">
        <v>4</v>
      </c>
      <c r="T9" s="5">
        <v>3</v>
      </c>
      <c r="U9" s="5">
        <v>3</v>
      </c>
      <c r="V9" s="5"/>
      <c r="W9" s="9"/>
      <c r="X9" s="10"/>
    </row>
    <row r="10" spans="1:24" ht="47.45" customHeight="1">
      <c r="B10" s="13">
        <v>11778101</v>
      </c>
      <c r="C10" s="13" t="s">
        <v>48</v>
      </c>
      <c r="D10" s="13" t="s">
        <v>48</v>
      </c>
      <c r="E10" s="13">
        <v>2016</v>
      </c>
      <c r="F10" s="13" t="s">
        <v>25</v>
      </c>
      <c r="G10" s="13" t="s">
        <v>26</v>
      </c>
      <c r="H10" s="13" t="s">
        <v>34</v>
      </c>
      <c r="J10" s="5" t="s">
        <v>28</v>
      </c>
      <c r="K10" s="17">
        <v>0.75</v>
      </c>
      <c r="L10" s="17" t="s">
        <v>49</v>
      </c>
      <c r="M10" s="12">
        <v>480</v>
      </c>
      <c r="N10" s="12">
        <f>Tabell2[[#This Row],[Salgspris]]*Tabell2[[#This Row],[Totalt antall]]</f>
        <v>417120</v>
      </c>
      <c r="O10" s="5">
        <v>192</v>
      </c>
      <c r="P10" s="5">
        <v>48</v>
      </c>
      <c r="Q10" s="5">
        <v>48</v>
      </c>
      <c r="R10" s="5">
        <v>48</v>
      </c>
      <c r="S10" s="5">
        <v>48</v>
      </c>
      <c r="T10" s="5">
        <v>48</v>
      </c>
      <c r="U10" s="5">
        <v>48</v>
      </c>
      <c r="V10" s="5"/>
      <c r="W10" s="9"/>
      <c r="X10" s="10"/>
    </row>
    <row r="11" spans="1:24" ht="47.45" customHeight="1">
      <c r="B11" s="13">
        <v>1815201</v>
      </c>
      <c r="C11" s="13" t="s">
        <v>48</v>
      </c>
      <c r="D11" s="13" t="s">
        <v>50</v>
      </c>
      <c r="E11" s="13">
        <v>2013</v>
      </c>
      <c r="F11" s="13" t="s">
        <v>25</v>
      </c>
      <c r="G11" s="13" t="s">
        <v>26</v>
      </c>
      <c r="H11" s="13" t="s">
        <v>34</v>
      </c>
      <c r="J11" s="5" t="s">
        <v>51</v>
      </c>
      <c r="K11" s="17">
        <v>0.75</v>
      </c>
      <c r="L11" s="17" t="s">
        <v>52</v>
      </c>
      <c r="M11" s="12">
        <v>91</v>
      </c>
      <c r="N11" s="12">
        <f>Tabell2[[#This Row],[Salgspris]]*Tabell2[[#This Row],[Totalt antall]]</f>
        <v>78332.800000000003</v>
      </c>
      <c r="O11" s="5">
        <v>37</v>
      </c>
      <c r="P11" s="5">
        <v>12</v>
      </c>
      <c r="Q11" s="5">
        <v>6</v>
      </c>
      <c r="R11" s="5">
        <v>12</v>
      </c>
      <c r="S11" s="5">
        <v>6</v>
      </c>
      <c r="T11" s="5">
        <v>6</v>
      </c>
      <c r="U11" s="5">
        <v>6</v>
      </c>
      <c r="V11" s="5">
        <v>6</v>
      </c>
      <c r="W11" s="9"/>
      <c r="X11" s="10"/>
    </row>
    <row r="12" spans="1:24" ht="47.45" customHeight="1">
      <c r="B12" s="13">
        <v>10519301</v>
      </c>
      <c r="C12" s="13" t="s">
        <v>48</v>
      </c>
      <c r="D12" s="13" t="s">
        <v>53</v>
      </c>
      <c r="E12" s="13">
        <v>2014</v>
      </c>
      <c r="F12" s="13" t="s">
        <v>25</v>
      </c>
      <c r="G12" s="13" t="s">
        <v>26</v>
      </c>
      <c r="H12" s="13" t="s">
        <v>34</v>
      </c>
      <c r="J12" s="5" t="s">
        <v>51</v>
      </c>
      <c r="K12" s="17">
        <v>0.75</v>
      </c>
      <c r="L12" s="17" t="s">
        <v>54</v>
      </c>
      <c r="M12" s="12">
        <v>54</v>
      </c>
      <c r="N12" s="12">
        <f>Tabell2[[#This Row],[Salgspris]]*Tabell2[[#This Row],[Totalt antall]]</f>
        <v>53238.6</v>
      </c>
      <c r="O12" s="5">
        <v>24</v>
      </c>
      <c r="P12" s="5">
        <v>6</v>
      </c>
      <c r="Q12" s="5">
        <v>6</v>
      </c>
      <c r="R12" s="5">
        <v>6</v>
      </c>
      <c r="S12" s="5">
        <v>6</v>
      </c>
      <c r="T12" s="5"/>
      <c r="U12" s="5">
        <v>6</v>
      </c>
      <c r="V12" s="5"/>
      <c r="W12" s="9"/>
      <c r="X12" s="10"/>
    </row>
    <row r="13" spans="1:24" ht="47.45" customHeight="1">
      <c r="B13" s="13">
        <v>11780901</v>
      </c>
      <c r="C13" s="13" t="s">
        <v>55</v>
      </c>
      <c r="D13" s="13" t="s">
        <v>56</v>
      </c>
      <c r="E13" s="13">
        <v>2017</v>
      </c>
      <c r="F13" s="13" t="s">
        <v>25</v>
      </c>
      <c r="G13" s="13" t="s">
        <v>57</v>
      </c>
      <c r="H13" s="13" t="s">
        <v>58</v>
      </c>
      <c r="I13" s="13" t="s">
        <v>59</v>
      </c>
      <c r="J13" s="5" t="s">
        <v>60</v>
      </c>
      <c r="K13" s="17">
        <v>0.75</v>
      </c>
      <c r="L13" s="17" t="s">
        <v>61</v>
      </c>
      <c r="M13" s="12">
        <v>120</v>
      </c>
      <c r="N13" s="12">
        <f>Tabell2[[#This Row],[Salgspris]]*Tabell2[[#This Row],[Totalt antall]]</f>
        <v>91068</v>
      </c>
      <c r="O13" s="5">
        <v>36</v>
      </c>
      <c r="P13" s="5">
        <v>12</v>
      </c>
      <c r="Q13" s="5">
        <v>12</v>
      </c>
      <c r="R13" s="5">
        <v>12</v>
      </c>
      <c r="S13" s="5">
        <v>12</v>
      </c>
      <c r="T13" s="5">
        <v>12</v>
      </c>
      <c r="U13" s="5">
        <v>12</v>
      </c>
      <c r="V13" s="5">
        <v>12</v>
      </c>
      <c r="W13" s="9"/>
      <c r="X13" s="10"/>
    </row>
    <row r="14" spans="1:24" ht="47.45" customHeight="1">
      <c r="B14" s="13">
        <v>11780801</v>
      </c>
      <c r="C14" s="13" t="s">
        <v>55</v>
      </c>
      <c r="D14" s="13" t="s">
        <v>56</v>
      </c>
      <c r="E14" s="13">
        <v>2017</v>
      </c>
      <c r="F14" s="13" t="s">
        <v>25</v>
      </c>
      <c r="G14" s="13" t="s">
        <v>57</v>
      </c>
      <c r="H14" s="13" t="s">
        <v>58</v>
      </c>
      <c r="I14" s="13" t="s">
        <v>59</v>
      </c>
      <c r="J14" s="5" t="s">
        <v>62</v>
      </c>
      <c r="K14" s="17">
        <v>0.75</v>
      </c>
      <c r="L14" s="17" t="s">
        <v>63</v>
      </c>
      <c r="M14" s="12">
        <v>120</v>
      </c>
      <c r="N14" s="12">
        <f>Tabell2[[#This Row],[Salgspris]]*Tabell2[[#This Row],[Totalt antall]]</f>
        <v>80268</v>
      </c>
      <c r="O14" s="5">
        <v>36</v>
      </c>
      <c r="P14" s="5">
        <v>12</v>
      </c>
      <c r="Q14" s="5">
        <v>12</v>
      </c>
      <c r="R14" s="5">
        <v>12</v>
      </c>
      <c r="S14" s="5">
        <v>12</v>
      </c>
      <c r="T14" s="5">
        <v>12</v>
      </c>
      <c r="U14" s="5">
        <v>12</v>
      </c>
      <c r="V14" s="5">
        <v>12</v>
      </c>
      <c r="W14" s="9"/>
      <c r="X14" s="10"/>
    </row>
    <row r="15" spans="1:24" ht="47.45" customHeight="1">
      <c r="B15" s="13">
        <v>11783901</v>
      </c>
      <c r="C15" s="13" t="s">
        <v>64</v>
      </c>
      <c r="D15" s="13" t="s">
        <v>65</v>
      </c>
      <c r="E15" s="13">
        <v>2017</v>
      </c>
      <c r="F15" s="13" t="s">
        <v>25</v>
      </c>
      <c r="G15" s="13" t="s">
        <v>57</v>
      </c>
      <c r="H15" s="13" t="s">
        <v>66</v>
      </c>
      <c r="J15" s="5" t="s">
        <v>51</v>
      </c>
      <c r="K15" s="17">
        <v>0.75</v>
      </c>
      <c r="L15" s="17" t="s">
        <v>67</v>
      </c>
      <c r="M15" s="12">
        <v>600</v>
      </c>
      <c r="N15" s="12">
        <f>Tabell2[[#This Row],[Salgspris]]*Tabell2[[#This Row],[Totalt antall]]</f>
        <v>142620</v>
      </c>
      <c r="O15" s="5">
        <v>120</v>
      </c>
      <c r="P15" s="5">
        <v>84</v>
      </c>
      <c r="Q15" s="5">
        <v>72</v>
      </c>
      <c r="R15" s="5">
        <v>84</v>
      </c>
      <c r="S15" s="5">
        <v>84</v>
      </c>
      <c r="T15" s="5">
        <v>72</v>
      </c>
      <c r="U15" s="5">
        <v>72</v>
      </c>
      <c r="V15" s="5">
        <v>12</v>
      </c>
      <c r="W15" s="9"/>
      <c r="X15" s="10"/>
    </row>
    <row r="16" spans="1:24" ht="47.45" customHeight="1">
      <c r="B16" s="13">
        <v>11780701</v>
      </c>
      <c r="C16" s="13" t="s">
        <v>68</v>
      </c>
      <c r="D16" s="13" t="s">
        <v>69</v>
      </c>
      <c r="E16" s="13">
        <v>2018</v>
      </c>
      <c r="F16" s="13" t="s">
        <v>25</v>
      </c>
      <c r="G16" s="13" t="s">
        <v>70</v>
      </c>
      <c r="H16" s="13" t="s">
        <v>71</v>
      </c>
      <c r="J16" s="5" t="s">
        <v>51</v>
      </c>
      <c r="K16" s="17">
        <v>0.75</v>
      </c>
      <c r="L16" s="17" t="s">
        <v>72</v>
      </c>
      <c r="M16" s="12">
        <v>180</v>
      </c>
      <c r="N16" s="12">
        <f>Tabell2[[#This Row],[Salgspris]]*Tabell2[[#This Row],[Totalt antall]]</f>
        <v>63180</v>
      </c>
      <c r="O16" s="5">
        <v>60</v>
      </c>
      <c r="P16" s="5">
        <v>24</v>
      </c>
      <c r="Q16" s="5">
        <v>12</v>
      </c>
      <c r="R16" s="5">
        <v>24</v>
      </c>
      <c r="S16" s="5">
        <v>24</v>
      </c>
      <c r="T16" s="5">
        <v>12</v>
      </c>
      <c r="U16" s="5">
        <v>12</v>
      </c>
      <c r="V16" s="5">
        <v>12</v>
      </c>
      <c r="W16" s="9"/>
      <c r="X16" s="10"/>
    </row>
    <row r="17" spans="2:24" ht="47.45" customHeight="1">
      <c r="B17" s="13">
        <v>11780601</v>
      </c>
      <c r="C17" s="13" t="s">
        <v>73</v>
      </c>
      <c r="D17" s="13" t="s">
        <v>74</v>
      </c>
      <c r="E17" s="13">
        <v>2018</v>
      </c>
      <c r="F17" s="13" t="s">
        <v>25</v>
      </c>
      <c r="G17" s="13" t="s">
        <v>70</v>
      </c>
      <c r="J17" s="5" t="s">
        <v>51</v>
      </c>
      <c r="K17" s="17">
        <v>0.75</v>
      </c>
      <c r="L17" s="17" t="s">
        <v>75</v>
      </c>
      <c r="M17" s="12">
        <v>180</v>
      </c>
      <c r="N17" s="12">
        <f>Tabell2[[#This Row],[Salgspris]]*Tabell2[[#This Row],[Totalt antall]]</f>
        <v>46980</v>
      </c>
      <c r="O17" s="5">
        <v>60</v>
      </c>
      <c r="P17" s="5">
        <v>24</v>
      </c>
      <c r="Q17" s="5">
        <v>12</v>
      </c>
      <c r="R17" s="5">
        <v>24</v>
      </c>
      <c r="S17" s="5">
        <v>24</v>
      </c>
      <c r="T17" s="5">
        <v>12</v>
      </c>
      <c r="U17" s="5">
        <v>12</v>
      </c>
      <c r="V17" s="5">
        <v>12</v>
      </c>
      <c r="W17" s="9"/>
      <c r="X17" s="10"/>
    </row>
    <row r="18" spans="2:24" ht="47.45" customHeight="1">
      <c r="B18" s="13">
        <v>11780501</v>
      </c>
      <c r="C18" s="13" t="s">
        <v>73</v>
      </c>
      <c r="D18" s="13" t="s">
        <v>74</v>
      </c>
      <c r="E18" s="13">
        <v>2017</v>
      </c>
      <c r="F18" s="13" t="s">
        <v>25</v>
      </c>
      <c r="G18" s="13" t="s">
        <v>70</v>
      </c>
      <c r="J18" s="5" t="s">
        <v>28</v>
      </c>
      <c r="K18" s="17">
        <v>0.75</v>
      </c>
      <c r="L18" s="17" t="s">
        <v>75</v>
      </c>
      <c r="M18" s="12">
        <v>180</v>
      </c>
      <c r="N18" s="12">
        <f>Tabell2[[#This Row],[Salgspris]]*Tabell2[[#This Row],[Totalt antall]]</f>
        <v>46980</v>
      </c>
      <c r="O18" s="5">
        <v>60</v>
      </c>
      <c r="P18" s="5">
        <v>24</v>
      </c>
      <c r="Q18" s="5">
        <v>12</v>
      </c>
      <c r="R18" s="5">
        <v>24</v>
      </c>
      <c r="S18" s="5">
        <v>24</v>
      </c>
      <c r="T18" s="5">
        <v>12</v>
      </c>
      <c r="U18" s="5">
        <v>12</v>
      </c>
      <c r="V18" s="5">
        <v>12</v>
      </c>
      <c r="W18" s="9"/>
      <c r="X18" s="10"/>
    </row>
    <row r="19" spans="2:24" ht="47.45" customHeight="1">
      <c r="B19" s="13">
        <v>10234201</v>
      </c>
      <c r="C19" s="13" t="s">
        <v>76</v>
      </c>
      <c r="D19" s="13" t="s">
        <v>77</v>
      </c>
      <c r="E19" s="13">
        <v>2015</v>
      </c>
      <c r="F19" s="13" t="s">
        <v>78</v>
      </c>
      <c r="G19" s="13" t="s">
        <v>79</v>
      </c>
      <c r="H19" s="13" t="s">
        <v>80</v>
      </c>
      <c r="J19" s="5" t="s">
        <v>28</v>
      </c>
      <c r="K19" s="17">
        <v>0.75</v>
      </c>
      <c r="L19" s="17" t="s">
        <v>81</v>
      </c>
      <c r="M19" s="12">
        <v>360</v>
      </c>
      <c r="N19" s="12">
        <f>Tabell2[[#This Row],[Salgspris]]*Tabell2[[#This Row],[Totalt antall]]</f>
        <v>186552.00000000003</v>
      </c>
      <c r="O19" s="5">
        <v>132</v>
      </c>
      <c r="P19" s="5">
        <v>48</v>
      </c>
      <c r="Q19" s="5">
        <v>24</v>
      </c>
      <c r="R19" s="5">
        <v>48</v>
      </c>
      <c r="S19" s="5">
        <v>48</v>
      </c>
      <c r="T19" s="5">
        <v>24</v>
      </c>
      <c r="U19" s="5">
        <v>24</v>
      </c>
      <c r="V19" s="5">
        <v>12</v>
      </c>
      <c r="W19" s="9"/>
      <c r="X19" s="10"/>
    </row>
    <row r="20" spans="2:24" ht="47.45" customHeight="1">
      <c r="B20" s="13">
        <v>10234101</v>
      </c>
      <c r="C20" s="13" t="s">
        <v>76</v>
      </c>
      <c r="D20" s="13" t="s">
        <v>82</v>
      </c>
      <c r="E20" s="13">
        <v>2015</v>
      </c>
      <c r="F20" s="13" t="s">
        <v>78</v>
      </c>
      <c r="G20" s="13" t="s">
        <v>79</v>
      </c>
      <c r="H20" s="13" t="s">
        <v>80</v>
      </c>
      <c r="I20" s="13" t="s">
        <v>83</v>
      </c>
      <c r="J20" s="5" t="s">
        <v>28</v>
      </c>
      <c r="K20" s="17">
        <v>0.75</v>
      </c>
      <c r="L20" s="17" t="s">
        <v>84</v>
      </c>
      <c r="M20" s="12">
        <v>18</v>
      </c>
      <c r="N20" s="12">
        <f>Tabell2[[#This Row],[Salgspris]]*Tabell2[[#This Row],[Totalt antall]]</f>
        <v>8665.1999999999989</v>
      </c>
      <c r="O20" s="5">
        <v>9</v>
      </c>
      <c r="P20" s="5">
        <v>3</v>
      </c>
      <c r="Q20" s="5"/>
      <c r="R20" s="5">
        <v>3</v>
      </c>
      <c r="S20" s="5">
        <v>3</v>
      </c>
      <c r="T20" s="5"/>
      <c r="U20" s="5"/>
      <c r="V20" s="5"/>
      <c r="W20" s="9"/>
      <c r="X20" s="10"/>
    </row>
    <row r="21" spans="2:24" ht="47.45" customHeight="1">
      <c r="B21" s="13">
        <v>11782201</v>
      </c>
      <c r="C21" s="13" t="s">
        <v>85</v>
      </c>
      <c r="D21" s="13" t="s">
        <v>86</v>
      </c>
      <c r="E21" s="13">
        <v>2018</v>
      </c>
      <c r="F21" s="13" t="s">
        <v>87</v>
      </c>
      <c r="G21" s="13" t="s">
        <v>88</v>
      </c>
      <c r="H21" s="13" t="s">
        <v>89</v>
      </c>
      <c r="J21" s="5" t="s">
        <v>62</v>
      </c>
      <c r="K21" s="17">
        <v>0.75</v>
      </c>
      <c r="L21" s="17" t="s">
        <v>90</v>
      </c>
      <c r="M21" s="12">
        <v>36</v>
      </c>
      <c r="N21" s="12">
        <f>Tabell2[[#This Row],[Salgspris]]*Tabell2[[#This Row],[Totalt antall]]</f>
        <v>18320.399999999998</v>
      </c>
      <c r="O21" s="5">
        <v>18</v>
      </c>
      <c r="P21" s="5">
        <v>6</v>
      </c>
      <c r="Q21" s="5"/>
      <c r="R21" s="5">
        <v>6</v>
      </c>
      <c r="S21" s="5">
        <v>6</v>
      </c>
      <c r="T21" s="5"/>
      <c r="U21" s="5"/>
      <c r="V21" s="5"/>
      <c r="W21" s="9"/>
      <c r="X21" s="10"/>
    </row>
    <row r="22" spans="2:24" ht="47.45" customHeight="1">
      <c r="B22" s="13">
        <v>11782001</v>
      </c>
      <c r="C22" s="13" t="s">
        <v>85</v>
      </c>
      <c r="D22" s="13" t="s">
        <v>91</v>
      </c>
      <c r="E22" s="13">
        <v>2018</v>
      </c>
      <c r="F22" s="13" t="s">
        <v>87</v>
      </c>
      <c r="G22" s="13" t="s">
        <v>88</v>
      </c>
      <c r="H22" s="13" t="s">
        <v>89</v>
      </c>
      <c r="J22" s="5" t="s">
        <v>62</v>
      </c>
      <c r="K22" s="17">
        <v>0.75</v>
      </c>
      <c r="L22" s="17" t="s">
        <v>92</v>
      </c>
      <c r="M22" s="12">
        <v>120</v>
      </c>
      <c r="N22" s="12">
        <f>Tabell2[[#This Row],[Salgspris]]*Tabell2[[#This Row],[Totalt antall]]</f>
        <v>45456</v>
      </c>
      <c r="O22" s="5">
        <v>36</v>
      </c>
      <c r="P22" s="5">
        <v>12</v>
      </c>
      <c r="Q22" s="5">
        <v>12</v>
      </c>
      <c r="R22" s="5">
        <v>12</v>
      </c>
      <c r="S22" s="5">
        <v>12</v>
      </c>
      <c r="T22" s="5">
        <v>12</v>
      </c>
      <c r="U22" s="5">
        <v>12</v>
      </c>
      <c r="V22" s="5">
        <v>12</v>
      </c>
      <c r="W22" s="9"/>
      <c r="X22" s="10"/>
    </row>
    <row r="23" spans="2:24" ht="47.45" customHeight="1">
      <c r="B23" s="13">
        <v>11782101</v>
      </c>
      <c r="C23" s="13" t="s">
        <v>85</v>
      </c>
      <c r="D23" s="13" t="s">
        <v>93</v>
      </c>
      <c r="E23" s="13">
        <v>2018</v>
      </c>
      <c r="F23" s="13" t="s">
        <v>87</v>
      </c>
      <c r="G23" s="13" t="s">
        <v>88</v>
      </c>
      <c r="H23" s="13" t="s">
        <v>89</v>
      </c>
      <c r="J23" s="5" t="s">
        <v>62</v>
      </c>
      <c r="K23" s="17">
        <v>0.75</v>
      </c>
      <c r="L23" s="17" t="s">
        <v>90</v>
      </c>
      <c r="M23" s="12">
        <v>60</v>
      </c>
      <c r="N23" s="12">
        <f>Tabell2[[#This Row],[Salgspris]]*Tabell2[[#This Row],[Totalt antall]]</f>
        <v>30534</v>
      </c>
      <c r="O23" s="5">
        <v>24</v>
      </c>
      <c r="P23" s="5">
        <v>6</v>
      </c>
      <c r="Q23" s="5">
        <v>6</v>
      </c>
      <c r="R23" s="5">
        <v>6</v>
      </c>
      <c r="S23" s="5">
        <v>6</v>
      </c>
      <c r="T23" s="5">
        <v>6</v>
      </c>
      <c r="U23" s="5">
        <v>6</v>
      </c>
      <c r="V23" s="5"/>
      <c r="W23" s="9"/>
      <c r="X23" s="10"/>
    </row>
    <row r="24" spans="2:24" ht="47.45" customHeight="1">
      <c r="B24" s="13">
        <v>11782301</v>
      </c>
      <c r="C24" s="13" t="s">
        <v>85</v>
      </c>
      <c r="D24" s="13" t="s">
        <v>94</v>
      </c>
      <c r="E24" s="13">
        <v>2018</v>
      </c>
      <c r="F24" s="13" t="s">
        <v>87</v>
      </c>
      <c r="G24" s="13" t="s">
        <v>88</v>
      </c>
      <c r="H24" s="13" t="s">
        <v>89</v>
      </c>
      <c r="J24" s="5" t="s">
        <v>62</v>
      </c>
      <c r="K24" s="17">
        <v>0.75</v>
      </c>
      <c r="L24" s="17" t="s">
        <v>95</v>
      </c>
      <c r="M24" s="12">
        <v>36</v>
      </c>
      <c r="N24" s="12">
        <f>Tabell2[[#This Row],[Salgspris]]*Tabell2[[#This Row],[Totalt antall]]</f>
        <v>22100.399999999998</v>
      </c>
      <c r="O24" s="5">
        <v>18</v>
      </c>
      <c r="P24" s="5">
        <v>6</v>
      </c>
      <c r="Q24" s="5"/>
      <c r="R24" s="5">
        <v>6</v>
      </c>
      <c r="S24" s="5">
        <v>6</v>
      </c>
      <c r="T24" s="5"/>
      <c r="U24" s="5"/>
      <c r="V24" s="5"/>
      <c r="W24" s="9"/>
      <c r="X24" s="10"/>
    </row>
    <row r="25" spans="2:24" ht="47.45" customHeight="1">
      <c r="B25" s="13">
        <v>11770701</v>
      </c>
      <c r="C25" s="13" t="s">
        <v>96</v>
      </c>
      <c r="D25" s="13" t="s">
        <v>97</v>
      </c>
      <c r="E25" s="13">
        <v>2018</v>
      </c>
      <c r="F25" s="13" t="s">
        <v>87</v>
      </c>
      <c r="G25" s="13" t="s">
        <v>88</v>
      </c>
      <c r="H25" s="13" t="s">
        <v>98</v>
      </c>
      <c r="I25" s="13" t="s">
        <v>99</v>
      </c>
      <c r="J25" s="5" t="s">
        <v>51</v>
      </c>
      <c r="K25" s="17">
        <v>0.75</v>
      </c>
      <c r="L25" s="17" t="s">
        <v>100</v>
      </c>
      <c r="M25" s="12">
        <v>84</v>
      </c>
      <c r="N25" s="12">
        <f>Tabell2[[#This Row],[Salgspris]]*Tabell2[[#This Row],[Totalt antall]]</f>
        <v>31768.799999999999</v>
      </c>
      <c r="O25" s="5">
        <v>30</v>
      </c>
      <c r="P25" s="5">
        <v>12</v>
      </c>
      <c r="Q25" s="5">
        <v>6</v>
      </c>
      <c r="R25" s="5">
        <v>6</v>
      </c>
      <c r="S25" s="5">
        <v>12</v>
      </c>
      <c r="T25" s="5">
        <v>6</v>
      </c>
      <c r="U25" s="5">
        <v>6</v>
      </c>
      <c r="V25" s="5">
        <v>6</v>
      </c>
      <c r="W25" s="9"/>
      <c r="X25" s="10"/>
    </row>
    <row r="26" spans="2:24" ht="47.45" customHeight="1">
      <c r="B26" s="13">
        <v>11765101</v>
      </c>
      <c r="C26" s="13" t="s">
        <v>101</v>
      </c>
      <c r="D26" s="13" t="s">
        <v>102</v>
      </c>
      <c r="E26" s="13">
        <v>2017</v>
      </c>
      <c r="F26" s="13" t="s">
        <v>87</v>
      </c>
      <c r="G26" s="13" t="s">
        <v>88</v>
      </c>
      <c r="H26" s="13" t="s">
        <v>103</v>
      </c>
      <c r="I26" s="13" t="s">
        <v>104</v>
      </c>
      <c r="J26" s="5" t="s">
        <v>28</v>
      </c>
      <c r="K26" s="17">
        <v>0.75</v>
      </c>
      <c r="L26" s="17" t="s">
        <v>105</v>
      </c>
      <c r="M26" s="12">
        <v>23</v>
      </c>
      <c r="N26" s="12">
        <f>Tabell2[[#This Row],[Salgspris]]*Tabell2[[#This Row],[Totalt antall]]</f>
        <v>17735.3</v>
      </c>
      <c r="O26" s="5">
        <v>11</v>
      </c>
      <c r="P26" s="5">
        <v>4</v>
      </c>
      <c r="Q26" s="5"/>
      <c r="R26" s="5">
        <v>4</v>
      </c>
      <c r="S26" s="5">
        <v>4</v>
      </c>
      <c r="T26" s="5"/>
      <c r="U26" s="5"/>
      <c r="V26" s="5"/>
      <c r="W26" s="9"/>
      <c r="X26" s="10"/>
    </row>
    <row r="27" spans="2:24" ht="47.45" customHeight="1">
      <c r="B27" s="13">
        <v>11765201</v>
      </c>
      <c r="C27" s="13" t="s">
        <v>101</v>
      </c>
      <c r="D27" s="13" t="s">
        <v>106</v>
      </c>
      <c r="E27" s="13">
        <v>2017</v>
      </c>
      <c r="F27" s="13" t="s">
        <v>87</v>
      </c>
      <c r="G27" s="13" t="s">
        <v>88</v>
      </c>
      <c r="H27" s="13" t="s">
        <v>107</v>
      </c>
      <c r="I27" s="13" t="s">
        <v>108</v>
      </c>
      <c r="J27" s="5" t="s">
        <v>28</v>
      </c>
      <c r="K27" s="17">
        <v>0.75</v>
      </c>
      <c r="L27" s="17" t="s">
        <v>109</v>
      </c>
      <c r="M27" s="12">
        <v>23</v>
      </c>
      <c r="N27" s="12">
        <f>Tabell2[[#This Row],[Salgspris]]*Tabell2[[#This Row],[Totalt antall]]</f>
        <v>14055.300000000001</v>
      </c>
      <c r="O27" s="5">
        <v>11</v>
      </c>
      <c r="P27" s="5"/>
      <c r="Q27" s="5">
        <v>4</v>
      </c>
      <c r="R27" s="5"/>
      <c r="S27" s="5"/>
      <c r="T27" s="5">
        <v>4</v>
      </c>
      <c r="U27" s="5">
        <v>4</v>
      </c>
      <c r="V27" s="5"/>
      <c r="W27" s="9"/>
      <c r="X27" s="10"/>
    </row>
    <row r="28" spans="2:24" ht="47.45" customHeight="1">
      <c r="B28" s="13">
        <v>11805701</v>
      </c>
      <c r="C28" s="13" t="s">
        <v>110</v>
      </c>
      <c r="D28" s="13" t="s">
        <v>111</v>
      </c>
      <c r="E28" s="13">
        <v>2017</v>
      </c>
      <c r="F28" s="13" t="s">
        <v>87</v>
      </c>
      <c r="G28" s="13" t="s">
        <v>88</v>
      </c>
      <c r="H28" t="s">
        <v>112</v>
      </c>
      <c r="I28" s="13" t="s">
        <v>113</v>
      </c>
      <c r="J28" s="5" t="s">
        <v>51</v>
      </c>
      <c r="K28" s="18">
        <v>0.75</v>
      </c>
      <c r="L28" s="18">
        <v>348.8</v>
      </c>
      <c r="M28" s="15">
        <v>96</v>
      </c>
      <c r="N28" s="15">
        <f>Tabell2[[#This Row],[Salgspris]]*Tabell2[[#This Row],[Totalt antall]]</f>
        <v>33484.800000000003</v>
      </c>
      <c r="O28" s="5">
        <v>36</v>
      </c>
      <c r="P28" s="5">
        <v>6</v>
      </c>
      <c r="Q28" s="5">
        <v>6</v>
      </c>
      <c r="R28" s="5">
        <v>6</v>
      </c>
      <c r="S28" s="5">
        <v>6</v>
      </c>
      <c r="T28" s="5">
        <v>6</v>
      </c>
      <c r="U28" s="5">
        <v>6</v>
      </c>
      <c r="V28" s="5">
        <v>24</v>
      </c>
      <c r="W28" s="9"/>
      <c r="X28" s="10"/>
    </row>
    <row r="29" spans="2:24" ht="47.45" customHeight="1">
      <c r="B29" s="13">
        <v>11782501</v>
      </c>
      <c r="C29" s="13" t="s">
        <v>114</v>
      </c>
      <c r="D29" s="13" t="s">
        <v>115</v>
      </c>
      <c r="E29" s="13">
        <v>2016</v>
      </c>
      <c r="F29" s="13" t="s">
        <v>87</v>
      </c>
      <c r="G29" s="13" t="s">
        <v>88</v>
      </c>
      <c r="H29" s="13" t="s">
        <v>116</v>
      </c>
      <c r="I29" s="13" t="s">
        <v>117</v>
      </c>
      <c r="J29" s="5" t="s">
        <v>62</v>
      </c>
      <c r="K29" s="17">
        <v>0.75</v>
      </c>
      <c r="L29" s="17" t="s">
        <v>118</v>
      </c>
      <c r="M29" s="12">
        <v>24</v>
      </c>
      <c r="N29" s="12">
        <f>Tabell2[[#This Row],[Salgspris]]*Tabell2[[#This Row],[Totalt antall]]</f>
        <v>20253.599999999999</v>
      </c>
      <c r="O29" s="5">
        <v>12</v>
      </c>
      <c r="P29" s="5">
        <v>2</v>
      </c>
      <c r="Q29" s="5">
        <v>2</v>
      </c>
      <c r="R29" s="5">
        <v>2</v>
      </c>
      <c r="S29" s="5">
        <v>2</v>
      </c>
      <c r="T29" s="5">
        <v>2</v>
      </c>
      <c r="U29" s="5">
        <v>2</v>
      </c>
      <c r="V29" s="5"/>
      <c r="W29" s="9"/>
      <c r="X29" s="10"/>
    </row>
    <row r="30" spans="2:24" ht="47.45" customHeight="1">
      <c r="B30" s="13">
        <v>11782401</v>
      </c>
      <c r="C30" s="13" t="s">
        <v>114</v>
      </c>
      <c r="D30" s="13" t="s">
        <v>119</v>
      </c>
      <c r="E30" s="13">
        <v>2018</v>
      </c>
      <c r="F30" s="13" t="s">
        <v>87</v>
      </c>
      <c r="G30" s="13" t="s">
        <v>88</v>
      </c>
      <c r="J30" s="5" t="s">
        <v>62</v>
      </c>
      <c r="K30" s="17">
        <v>0.75</v>
      </c>
      <c r="L30" s="17" t="s">
        <v>120</v>
      </c>
      <c r="M30" s="12">
        <v>120</v>
      </c>
      <c r="N30" s="12">
        <f>Tabell2[[#This Row],[Salgspris]]*Tabell2[[#This Row],[Totalt antall]]</f>
        <v>34068</v>
      </c>
      <c r="O30" s="5">
        <v>36</v>
      </c>
      <c r="P30" s="5">
        <v>12</v>
      </c>
      <c r="Q30" s="5">
        <v>12</v>
      </c>
      <c r="R30" s="5">
        <v>12</v>
      </c>
      <c r="S30" s="5">
        <v>12</v>
      </c>
      <c r="T30" s="5">
        <v>12</v>
      </c>
      <c r="U30" s="5">
        <v>12</v>
      </c>
      <c r="V30" s="5">
        <v>12</v>
      </c>
      <c r="W30" s="9"/>
      <c r="X30" s="10"/>
    </row>
    <row r="31" spans="2:24" ht="47.45" customHeight="1">
      <c r="B31" s="13">
        <v>11773801</v>
      </c>
      <c r="C31" s="13" t="s">
        <v>121</v>
      </c>
      <c r="D31" s="13" t="s">
        <v>122</v>
      </c>
      <c r="E31" s="13">
        <v>2018</v>
      </c>
      <c r="F31" s="13" t="s">
        <v>87</v>
      </c>
      <c r="G31" s="13" t="s">
        <v>123</v>
      </c>
      <c r="H31" s="13" t="s">
        <v>124</v>
      </c>
      <c r="I31" s="13" t="s">
        <v>125</v>
      </c>
      <c r="J31" s="5" t="s">
        <v>51</v>
      </c>
      <c r="K31" s="17">
        <v>0.75</v>
      </c>
      <c r="L31" s="17" t="s">
        <v>126</v>
      </c>
      <c r="M31" s="12">
        <v>84</v>
      </c>
      <c r="N31" s="12">
        <f>Tabell2[[#This Row],[Salgspris]]*Tabell2[[#This Row],[Totalt antall]]</f>
        <v>36120</v>
      </c>
      <c r="O31" s="5">
        <v>30</v>
      </c>
      <c r="P31" s="5">
        <v>6</v>
      </c>
      <c r="Q31" s="5">
        <v>6</v>
      </c>
      <c r="R31" s="5">
        <v>12</v>
      </c>
      <c r="S31" s="5">
        <v>12</v>
      </c>
      <c r="T31" s="5">
        <v>6</v>
      </c>
      <c r="U31" s="5">
        <v>6</v>
      </c>
      <c r="V31" s="5">
        <v>6</v>
      </c>
      <c r="W31" s="9"/>
      <c r="X31" s="10"/>
    </row>
    <row r="32" spans="2:24" ht="47.45" customHeight="1">
      <c r="B32" s="13">
        <v>11773701</v>
      </c>
      <c r="C32" s="13" t="s">
        <v>121</v>
      </c>
      <c r="D32" s="13" t="s">
        <v>127</v>
      </c>
      <c r="E32" s="13">
        <v>2017</v>
      </c>
      <c r="F32" s="13" t="s">
        <v>87</v>
      </c>
      <c r="G32" s="13" t="s">
        <v>123</v>
      </c>
      <c r="H32" s="13" t="s">
        <v>124</v>
      </c>
      <c r="I32" s="13" t="s">
        <v>128</v>
      </c>
      <c r="J32" s="5" t="s">
        <v>28</v>
      </c>
      <c r="K32" s="17">
        <v>0.75</v>
      </c>
      <c r="L32" s="17" t="s">
        <v>129</v>
      </c>
      <c r="M32" s="12">
        <v>12</v>
      </c>
      <c r="N32" s="12">
        <f>Tabell2[[#This Row],[Salgspris]]*Tabell2[[#This Row],[Totalt antall]]</f>
        <v>15534</v>
      </c>
      <c r="O32" s="5">
        <v>6</v>
      </c>
      <c r="P32" s="5">
        <v>2</v>
      </c>
      <c r="Q32" s="5"/>
      <c r="R32" s="5">
        <v>2</v>
      </c>
      <c r="S32" s="5">
        <v>2</v>
      </c>
      <c r="T32" s="5"/>
      <c r="U32" s="5"/>
      <c r="V32" s="5"/>
      <c r="W32" s="9"/>
      <c r="X32" s="10"/>
    </row>
    <row r="33" spans="2:24" ht="47.45" customHeight="1">
      <c r="B33" s="13">
        <v>11775201</v>
      </c>
      <c r="C33" s="13" t="s">
        <v>130</v>
      </c>
      <c r="D33" s="13" t="s">
        <v>131</v>
      </c>
      <c r="E33" s="13">
        <v>2018</v>
      </c>
      <c r="F33" s="13" t="s">
        <v>87</v>
      </c>
      <c r="G33" s="13" t="s">
        <v>123</v>
      </c>
      <c r="H33" s="13" t="s">
        <v>132</v>
      </c>
      <c r="I33" s="13" t="s">
        <v>133</v>
      </c>
      <c r="J33" s="5" t="s">
        <v>51</v>
      </c>
      <c r="K33" s="17">
        <v>0.75</v>
      </c>
      <c r="L33" s="17" t="s">
        <v>134</v>
      </c>
      <c r="M33" s="12">
        <v>84</v>
      </c>
      <c r="N33" s="12">
        <f>Tabell2[[#This Row],[Salgspris]]*Tabell2[[#This Row],[Totalt antall]]</f>
        <v>43671.6</v>
      </c>
      <c r="O33" s="5">
        <v>30</v>
      </c>
      <c r="P33" s="5">
        <v>6</v>
      </c>
      <c r="Q33" s="5">
        <v>6</v>
      </c>
      <c r="R33" s="5">
        <v>12</v>
      </c>
      <c r="S33" s="5">
        <v>12</v>
      </c>
      <c r="T33" s="5">
        <v>6</v>
      </c>
      <c r="U33" s="5">
        <v>6</v>
      </c>
      <c r="V33" s="5">
        <v>6</v>
      </c>
      <c r="W33" s="9"/>
      <c r="X33" s="10"/>
    </row>
    <row r="34" spans="2:24" ht="47.45" customHeight="1">
      <c r="B34" s="13">
        <v>11775301</v>
      </c>
      <c r="C34" s="13" t="s">
        <v>130</v>
      </c>
      <c r="D34" s="13" t="s">
        <v>135</v>
      </c>
      <c r="E34" s="13">
        <v>2018</v>
      </c>
      <c r="F34" s="13" t="s">
        <v>87</v>
      </c>
      <c r="G34" s="13" t="s">
        <v>123</v>
      </c>
      <c r="H34" s="13" t="s">
        <v>132</v>
      </c>
      <c r="I34" s="13" t="s">
        <v>133</v>
      </c>
      <c r="J34" s="5" t="s">
        <v>51</v>
      </c>
      <c r="K34" s="17">
        <v>0.75</v>
      </c>
      <c r="L34" s="17" t="s">
        <v>134</v>
      </c>
      <c r="M34" s="12">
        <v>84</v>
      </c>
      <c r="N34" s="12">
        <f>Tabell2[[#This Row],[Salgspris]]*Tabell2[[#This Row],[Totalt antall]]</f>
        <v>43671.6</v>
      </c>
      <c r="O34" s="5">
        <v>30</v>
      </c>
      <c r="P34" s="5">
        <v>12</v>
      </c>
      <c r="Q34" s="5">
        <v>6</v>
      </c>
      <c r="R34" s="5">
        <v>6</v>
      </c>
      <c r="S34" s="5">
        <v>12</v>
      </c>
      <c r="T34" s="5">
        <v>6</v>
      </c>
      <c r="U34" s="5">
        <v>6</v>
      </c>
      <c r="V34" s="5">
        <v>6</v>
      </c>
      <c r="W34" s="9"/>
      <c r="X34" s="10"/>
    </row>
    <row r="35" spans="2:24" ht="47.45" customHeight="1">
      <c r="B35" s="13">
        <v>11487701</v>
      </c>
      <c r="C35" s="13" t="s">
        <v>136</v>
      </c>
      <c r="D35" s="13" t="s">
        <v>137</v>
      </c>
      <c r="E35" s="13">
        <v>2018</v>
      </c>
      <c r="F35" s="13" t="s">
        <v>87</v>
      </c>
      <c r="G35" s="13" t="s">
        <v>138</v>
      </c>
      <c r="H35" s="13" t="s">
        <v>139</v>
      </c>
      <c r="I35" s="13" t="s">
        <v>140</v>
      </c>
      <c r="J35" s="5" t="s">
        <v>51</v>
      </c>
      <c r="K35" s="17">
        <v>0.75</v>
      </c>
      <c r="L35" s="17" t="s">
        <v>141</v>
      </c>
      <c r="M35" s="12">
        <v>360</v>
      </c>
      <c r="N35" s="12">
        <f>Tabell2[[#This Row],[Salgspris]]*Tabell2[[#This Row],[Totalt antall]]</f>
        <v>129923.99999999999</v>
      </c>
      <c r="O35" s="5">
        <v>120</v>
      </c>
      <c r="P35" s="5">
        <v>48</v>
      </c>
      <c r="Q35" s="5">
        <v>24</v>
      </c>
      <c r="R35" s="5">
        <v>48</v>
      </c>
      <c r="S35" s="5">
        <v>60</v>
      </c>
      <c r="T35" s="5">
        <v>24</v>
      </c>
      <c r="U35" s="5">
        <v>24</v>
      </c>
      <c r="V35" s="5">
        <v>12</v>
      </c>
      <c r="W35" s="9"/>
      <c r="X35" s="10"/>
    </row>
    <row r="36" spans="2:24" ht="47.45" customHeight="1">
      <c r="B36" s="13">
        <v>11487801</v>
      </c>
      <c r="C36" s="13" t="s">
        <v>136</v>
      </c>
      <c r="D36" s="13" t="s">
        <v>142</v>
      </c>
      <c r="E36" s="13">
        <v>2018</v>
      </c>
      <c r="F36" s="13" t="s">
        <v>87</v>
      </c>
      <c r="G36" s="13" t="s">
        <v>138</v>
      </c>
      <c r="H36" s="13" t="s">
        <v>143</v>
      </c>
      <c r="I36" s="13" t="s">
        <v>144</v>
      </c>
      <c r="J36" s="5" t="s">
        <v>51</v>
      </c>
      <c r="K36" s="17">
        <v>0.75</v>
      </c>
      <c r="L36" s="17" t="s">
        <v>145</v>
      </c>
      <c r="M36" s="12">
        <v>360</v>
      </c>
      <c r="N36" s="12">
        <f>Tabell2[[#This Row],[Salgspris]]*Tabell2[[#This Row],[Totalt antall]]</f>
        <v>137160</v>
      </c>
      <c r="O36" s="5">
        <v>120</v>
      </c>
      <c r="P36" s="5">
        <v>48</v>
      </c>
      <c r="Q36" s="5">
        <v>24</v>
      </c>
      <c r="R36" s="5">
        <v>48</v>
      </c>
      <c r="S36" s="5">
        <v>60</v>
      </c>
      <c r="T36" s="5">
        <v>24</v>
      </c>
      <c r="U36" s="5">
        <v>24</v>
      </c>
      <c r="V36" s="5">
        <v>12</v>
      </c>
      <c r="W36" s="21"/>
      <c r="X36" s="10"/>
    </row>
    <row r="37" spans="2:24" ht="47.45" customHeight="1">
      <c r="B37" s="13">
        <v>11487901</v>
      </c>
      <c r="C37" s="13" t="s">
        <v>136</v>
      </c>
      <c r="D37" s="13" t="s">
        <v>146</v>
      </c>
      <c r="E37" s="13">
        <v>2018</v>
      </c>
      <c r="F37" s="13" t="s">
        <v>87</v>
      </c>
      <c r="G37" s="13" t="s">
        <v>138</v>
      </c>
      <c r="H37" s="13" t="s">
        <v>147</v>
      </c>
      <c r="J37" s="5" t="s">
        <v>51</v>
      </c>
      <c r="K37" s="17">
        <v>0.75</v>
      </c>
      <c r="L37" s="17" t="s">
        <v>141</v>
      </c>
      <c r="M37" s="12">
        <v>360</v>
      </c>
      <c r="N37" s="12">
        <f>Tabell2[[#This Row],[Salgspris]]*Tabell2[[#This Row],[Totalt antall]]</f>
        <v>129923.99999999999</v>
      </c>
      <c r="O37" s="5">
        <v>120</v>
      </c>
      <c r="P37" s="5">
        <v>48</v>
      </c>
      <c r="Q37" s="5">
        <v>24</v>
      </c>
      <c r="R37" s="5">
        <v>48</v>
      </c>
      <c r="S37" s="5">
        <v>60</v>
      </c>
      <c r="T37" s="5">
        <v>24</v>
      </c>
      <c r="U37" s="5">
        <v>24</v>
      </c>
      <c r="V37" s="5">
        <v>12</v>
      </c>
      <c r="W37" s="9"/>
      <c r="X37" s="10"/>
    </row>
    <row r="38" spans="2:24" ht="47.45" customHeight="1">
      <c r="B38" s="13">
        <v>11778501</v>
      </c>
      <c r="C38" s="13" t="s">
        <v>148</v>
      </c>
      <c r="D38" s="13" t="s">
        <v>149</v>
      </c>
      <c r="E38" s="13">
        <v>2018</v>
      </c>
      <c r="F38" s="13" t="s">
        <v>87</v>
      </c>
      <c r="G38" s="13" t="s">
        <v>138</v>
      </c>
      <c r="H38" s="13" t="s">
        <v>150</v>
      </c>
      <c r="I38" s="13" t="s">
        <v>151</v>
      </c>
      <c r="J38" s="5" t="s">
        <v>51</v>
      </c>
      <c r="K38" s="17">
        <v>0.75</v>
      </c>
      <c r="L38" s="17" t="s">
        <v>152</v>
      </c>
      <c r="M38" s="12">
        <v>84</v>
      </c>
      <c r="N38" s="12">
        <f>Tabell2[[#This Row],[Salgspris]]*Tabell2[[#This Row],[Totalt antall]]</f>
        <v>33457.200000000004</v>
      </c>
      <c r="O38" s="5">
        <v>36</v>
      </c>
      <c r="P38" s="5">
        <v>12</v>
      </c>
      <c r="Q38" s="5">
        <v>6</v>
      </c>
      <c r="R38" s="5">
        <v>12</v>
      </c>
      <c r="S38" s="5">
        <v>6</v>
      </c>
      <c r="T38" s="5">
        <v>6</v>
      </c>
      <c r="U38" s="5">
        <v>6</v>
      </c>
      <c r="V38" s="5"/>
      <c r="W38" s="9"/>
      <c r="X38" s="10"/>
    </row>
    <row r="39" spans="2:24" ht="47.45" customHeight="1">
      <c r="B39" s="13">
        <v>11778401</v>
      </c>
      <c r="C39" s="13" t="s">
        <v>148</v>
      </c>
      <c r="D39" s="13" t="s">
        <v>153</v>
      </c>
      <c r="E39" s="13">
        <v>2018</v>
      </c>
      <c r="F39" s="13" t="s">
        <v>87</v>
      </c>
      <c r="G39" s="13" t="s">
        <v>138</v>
      </c>
      <c r="H39" s="13" t="s">
        <v>150</v>
      </c>
      <c r="I39" s="13" t="s">
        <v>151</v>
      </c>
      <c r="J39" s="5" t="s">
        <v>51</v>
      </c>
      <c r="K39" s="17">
        <v>0.75</v>
      </c>
      <c r="L39" s="17" t="s">
        <v>154</v>
      </c>
      <c r="M39" s="12">
        <v>240</v>
      </c>
      <c r="N39" s="12">
        <f>Tabell2[[#This Row],[Salgspris]]*Tabell2[[#This Row],[Totalt antall]]</f>
        <v>99600</v>
      </c>
      <c r="O39" s="5">
        <v>96</v>
      </c>
      <c r="P39" s="5">
        <v>24</v>
      </c>
      <c r="Q39" s="5">
        <v>12</v>
      </c>
      <c r="R39" s="5">
        <v>36</v>
      </c>
      <c r="S39" s="5">
        <v>36</v>
      </c>
      <c r="T39" s="5">
        <v>12</v>
      </c>
      <c r="U39" s="5">
        <v>12</v>
      </c>
      <c r="V39" s="5">
        <v>12</v>
      </c>
      <c r="W39" s="21"/>
      <c r="X39" s="10"/>
    </row>
    <row r="40" spans="2:24" ht="47.45" customHeight="1">
      <c r="B40" s="13">
        <v>11778702</v>
      </c>
      <c r="C40" s="13" t="s">
        <v>148</v>
      </c>
      <c r="D40" s="13" t="s">
        <v>155</v>
      </c>
      <c r="E40" s="13">
        <v>2018</v>
      </c>
      <c r="F40" s="13" t="s">
        <v>87</v>
      </c>
      <c r="G40" s="13" t="s">
        <v>138</v>
      </c>
      <c r="H40" s="13" t="s">
        <v>150</v>
      </c>
      <c r="I40" s="13" t="s">
        <v>151</v>
      </c>
      <c r="J40" s="5" t="s">
        <v>51</v>
      </c>
      <c r="K40" s="17">
        <v>0.375</v>
      </c>
      <c r="L40" s="17" t="s">
        <v>156</v>
      </c>
      <c r="M40" s="12">
        <v>6</v>
      </c>
      <c r="N40" s="12">
        <f>Tabell2[[#This Row],[Salgspris]]*Tabell2[[#This Row],[Totalt antall]]</f>
        <v>14611.800000000001</v>
      </c>
      <c r="O40" s="5">
        <v>4</v>
      </c>
      <c r="P40" s="5">
        <v>1</v>
      </c>
      <c r="Q40" s="5"/>
      <c r="R40" s="5">
        <v>1</v>
      </c>
      <c r="S40" s="5"/>
      <c r="T40" s="5"/>
      <c r="U40" s="5"/>
      <c r="V40" s="5"/>
      <c r="W40" s="21"/>
      <c r="X40" s="10"/>
    </row>
    <row r="41" spans="2:24" ht="47.45" customHeight="1">
      <c r="B41" s="13">
        <v>11760601</v>
      </c>
      <c r="C41" s="13" t="s">
        <v>157</v>
      </c>
      <c r="D41" s="13" t="s">
        <v>158</v>
      </c>
      <c r="E41" s="13">
        <v>2018</v>
      </c>
      <c r="F41" s="13" t="s">
        <v>87</v>
      </c>
      <c r="G41" s="13" t="s">
        <v>138</v>
      </c>
      <c r="H41" s="13" t="s">
        <v>159</v>
      </c>
      <c r="I41" s="13" t="s">
        <v>160</v>
      </c>
      <c r="J41" s="5" t="s">
        <v>51</v>
      </c>
      <c r="K41" s="17">
        <v>0.75</v>
      </c>
      <c r="L41" s="17" t="s">
        <v>161</v>
      </c>
      <c r="M41" s="12">
        <v>12</v>
      </c>
      <c r="N41" s="12">
        <f>Tabell2[[#This Row],[Salgspris]]*Tabell2[[#This Row],[Totalt antall]]</f>
        <v>5052</v>
      </c>
      <c r="O41" s="5">
        <v>6</v>
      </c>
      <c r="P41" s="5">
        <v>2</v>
      </c>
      <c r="Q41" s="5"/>
      <c r="R41" s="5">
        <v>2</v>
      </c>
      <c r="S41" s="5">
        <v>2</v>
      </c>
      <c r="T41" s="5"/>
      <c r="U41" s="5"/>
      <c r="V41" s="5"/>
      <c r="W41" s="9"/>
      <c r="X41" s="10" t="s">
        <v>162</v>
      </c>
    </row>
    <row r="42" spans="2:24" ht="47.45" customHeight="1">
      <c r="B42" s="13">
        <v>11760501</v>
      </c>
      <c r="C42" s="13" t="s">
        <v>157</v>
      </c>
      <c r="D42" s="13" t="s">
        <v>163</v>
      </c>
      <c r="E42" s="13">
        <v>2018</v>
      </c>
      <c r="F42" s="13" t="s">
        <v>87</v>
      </c>
      <c r="G42" s="13" t="s">
        <v>138</v>
      </c>
      <c r="H42" s="13" t="s">
        <v>159</v>
      </c>
      <c r="I42" s="13" t="s">
        <v>160</v>
      </c>
      <c r="J42" s="5" t="s">
        <v>51</v>
      </c>
      <c r="K42" s="17">
        <v>0.75</v>
      </c>
      <c r="L42" s="17" t="s">
        <v>164</v>
      </c>
      <c r="M42" s="12">
        <v>18</v>
      </c>
      <c r="N42" s="12">
        <f>Tabell2[[#This Row],[Salgspris]]*Tabell2[[#This Row],[Totalt antall]]</f>
        <v>5580</v>
      </c>
      <c r="O42" s="5">
        <v>9</v>
      </c>
      <c r="P42" s="5">
        <v>2</v>
      </c>
      <c r="Q42" s="5">
        <v>1</v>
      </c>
      <c r="R42" s="5">
        <v>2</v>
      </c>
      <c r="S42" s="5">
        <v>2</v>
      </c>
      <c r="T42" s="5"/>
      <c r="U42" s="5">
        <v>2</v>
      </c>
      <c r="V42" s="5"/>
      <c r="W42" s="9"/>
      <c r="X42" s="10" t="s">
        <v>162</v>
      </c>
    </row>
    <row r="43" spans="2:24" ht="47.45" customHeight="1">
      <c r="B43" s="13">
        <v>11760701</v>
      </c>
      <c r="C43" s="13" t="s">
        <v>157</v>
      </c>
      <c r="D43" s="13" t="s">
        <v>165</v>
      </c>
      <c r="E43" s="13">
        <v>2018</v>
      </c>
      <c r="F43" s="13" t="s">
        <v>87</v>
      </c>
      <c r="G43" s="13" t="s">
        <v>138</v>
      </c>
      <c r="H43" s="13" t="s">
        <v>159</v>
      </c>
      <c r="J43" s="5" t="s">
        <v>51</v>
      </c>
      <c r="K43" s="17">
        <v>0.75</v>
      </c>
      <c r="L43" s="17" t="s">
        <v>166</v>
      </c>
      <c r="M43" s="12">
        <v>72</v>
      </c>
      <c r="N43" s="12">
        <f>Tabell2[[#This Row],[Salgspris]]*Tabell2[[#This Row],[Totalt antall]]</f>
        <v>21456</v>
      </c>
      <c r="O43" s="5">
        <v>30</v>
      </c>
      <c r="P43" s="5">
        <v>6</v>
      </c>
      <c r="Q43" s="5">
        <v>6</v>
      </c>
      <c r="R43" s="5">
        <v>6</v>
      </c>
      <c r="S43" s="5">
        <v>6</v>
      </c>
      <c r="T43" s="5">
        <v>6</v>
      </c>
      <c r="U43" s="5">
        <v>6</v>
      </c>
      <c r="V43" s="5">
        <v>6</v>
      </c>
      <c r="W43" s="9"/>
      <c r="X43" s="10" t="s">
        <v>167</v>
      </c>
    </row>
    <row r="44" spans="2:24" ht="47.45" customHeight="1">
      <c r="B44" s="13">
        <v>11760801</v>
      </c>
      <c r="C44" s="13" t="s">
        <v>157</v>
      </c>
      <c r="D44" s="13" t="s">
        <v>168</v>
      </c>
      <c r="E44" s="13">
        <v>2018</v>
      </c>
      <c r="F44" s="13" t="s">
        <v>87</v>
      </c>
      <c r="G44" s="13" t="s">
        <v>138</v>
      </c>
      <c r="H44" s="13" t="s">
        <v>169</v>
      </c>
      <c r="I44" s="13" t="s">
        <v>170</v>
      </c>
      <c r="J44" s="5" t="s">
        <v>51</v>
      </c>
      <c r="K44" s="17">
        <v>0.75</v>
      </c>
      <c r="L44" s="17" t="s">
        <v>171</v>
      </c>
      <c r="M44" s="12">
        <v>12</v>
      </c>
      <c r="N44" s="12">
        <f>Tabell2[[#This Row],[Salgspris]]*Tabell2[[#This Row],[Totalt antall]]</f>
        <v>5772</v>
      </c>
      <c r="O44" s="5">
        <v>6</v>
      </c>
      <c r="P44" s="5">
        <v>2</v>
      </c>
      <c r="Q44" s="5"/>
      <c r="R44" s="5">
        <v>2</v>
      </c>
      <c r="S44" s="5">
        <v>2</v>
      </c>
      <c r="T44" s="5"/>
      <c r="U44" s="5"/>
      <c r="V44" s="5"/>
      <c r="W44" s="9"/>
      <c r="X44" s="10" t="s">
        <v>162</v>
      </c>
    </row>
    <row r="45" spans="2:24" ht="47.45" customHeight="1">
      <c r="B45" s="13">
        <v>11760301</v>
      </c>
      <c r="C45" s="13" t="s">
        <v>157</v>
      </c>
      <c r="D45" s="13" t="s">
        <v>172</v>
      </c>
      <c r="E45" s="13">
        <v>2018</v>
      </c>
      <c r="F45" s="13" t="s">
        <v>87</v>
      </c>
      <c r="G45" s="13" t="s">
        <v>138</v>
      </c>
      <c r="H45" s="13" t="s">
        <v>169</v>
      </c>
      <c r="I45" s="13" t="s">
        <v>170</v>
      </c>
      <c r="J45" s="5" t="s">
        <v>51</v>
      </c>
      <c r="K45" s="17">
        <v>0.75</v>
      </c>
      <c r="L45" s="17" t="s">
        <v>173</v>
      </c>
      <c r="M45" s="12">
        <v>18</v>
      </c>
      <c r="N45" s="12">
        <f>Tabell2[[#This Row],[Salgspris]]*Tabell2[[#This Row],[Totalt antall]]</f>
        <v>5778</v>
      </c>
      <c r="O45" s="5">
        <v>9</v>
      </c>
      <c r="P45" s="5">
        <v>2</v>
      </c>
      <c r="Q45" s="5"/>
      <c r="R45" s="5">
        <v>2</v>
      </c>
      <c r="S45" s="5">
        <v>2</v>
      </c>
      <c r="T45" s="5">
        <v>1</v>
      </c>
      <c r="U45" s="5">
        <v>2</v>
      </c>
      <c r="V45" s="5"/>
      <c r="W45" s="9"/>
      <c r="X45" s="10" t="s">
        <v>162</v>
      </c>
    </row>
    <row r="46" spans="2:24" ht="47.45" customHeight="1">
      <c r="B46" s="13">
        <v>11777201</v>
      </c>
      <c r="C46" s="13" t="s">
        <v>174</v>
      </c>
      <c r="D46" s="13" t="s">
        <v>175</v>
      </c>
      <c r="E46" s="13">
        <v>2018</v>
      </c>
      <c r="F46" s="13" t="s">
        <v>87</v>
      </c>
      <c r="G46" s="13" t="s">
        <v>138</v>
      </c>
      <c r="H46" s="13" t="s">
        <v>176</v>
      </c>
      <c r="I46" s="13" t="s">
        <v>177</v>
      </c>
      <c r="J46" s="5" t="s">
        <v>51</v>
      </c>
      <c r="K46" s="17">
        <v>0.75</v>
      </c>
      <c r="L46" s="17" t="s">
        <v>178</v>
      </c>
      <c r="M46" s="12">
        <v>72</v>
      </c>
      <c r="N46" s="12">
        <f>Tabell2[[#This Row],[Salgspris]]*Tabell2[[#This Row],[Totalt antall]]</f>
        <v>72482.400000000009</v>
      </c>
      <c r="O46" s="5">
        <v>21</v>
      </c>
      <c r="P46" s="5">
        <v>9</v>
      </c>
      <c r="Q46" s="5">
        <v>6</v>
      </c>
      <c r="R46" s="5">
        <v>9</v>
      </c>
      <c r="S46" s="5">
        <v>9</v>
      </c>
      <c r="T46" s="5">
        <v>6</v>
      </c>
      <c r="U46" s="5">
        <v>6</v>
      </c>
      <c r="V46" s="5">
        <v>6</v>
      </c>
      <c r="W46" s="21"/>
      <c r="X46" s="10"/>
    </row>
    <row r="47" spans="2:24" ht="47.45" customHeight="1">
      <c r="B47" s="13">
        <v>11777701</v>
      </c>
      <c r="C47" s="13" t="s">
        <v>174</v>
      </c>
      <c r="D47" s="13" t="s">
        <v>179</v>
      </c>
      <c r="E47" s="13">
        <v>2018</v>
      </c>
      <c r="F47" s="13" t="s">
        <v>87</v>
      </c>
      <c r="G47" s="13" t="s">
        <v>138</v>
      </c>
      <c r="H47" s="13" t="s">
        <v>176</v>
      </c>
      <c r="I47" s="13" t="s">
        <v>177</v>
      </c>
      <c r="J47" s="5" t="s">
        <v>51</v>
      </c>
      <c r="K47" s="17">
        <v>0.75</v>
      </c>
      <c r="L47" s="17" t="s">
        <v>180</v>
      </c>
      <c r="M47" s="12">
        <v>132</v>
      </c>
      <c r="N47" s="12">
        <f>Tabell2[[#This Row],[Salgspris]]*Tabell2[[#This Row],[Totalt antall]]</f>
        <v>67966.8</v>
      </c>
      <c r="O47" s="5">
        <v>36</v>
      </c>
      <c r="P47" s="5">
        <v>18</v>
      </c>
      <c r="Q47" s="5">
        <v>12</v>
      </c>
      <c r="R47" s="5">
        <v>12</v>
      </c>
      <c r="S47" s="5">
        <v>18</v>
      </c>
      <c r="T47" s="5">
        <v>12</v>
      </c>
      <c r="U47" s="5">
        <v>12</v>
      </c>
      <c r="V47" s="5">
        <v>12</v>
      </c>
      <c r="W47" s="9"/>
      <c r="X47" s="10"/>
    </row>
    <row r="48" spans="2:24" ht="47.45" customHeight="1">
      <c r="B48" s="13">
        <v>11777601</v>
      </c>
      <c r="C48" s="13" t="s">
        <v>174</v>
      </c>
      <c r="D48" s="13" t="s">
        <v>181</v>
      </c>
      <c r="E48" s="13">
        <v>2018</v>
      </c>
      <c r="F48" s="13" t="s">
        <v>87</v>
      </c>
      <c r="G48" s="13" t="s">
        <v>138</v>
      </c>
      <c r="J48" s="5" t="s">
        <v>51</v>
      </c>
      <c r="K48" s="17">
        <v>0.75</v>
      </c>
      <c r="L48" s="17" t="s">
        <v>182</v>
      </c>
      <c r="M48" s="12">
        <v>132</v>
      </c>
      <c r="N48" s="12">
        <f>Tabell2[[#This Row],[Salgspris]]*Tabell2[[#This Row],[Totalt antall]]</f>
        <v>50899.200000000004</v>
      </c>
      <c r="O48" s="5">
        <v>36</v>
      </c>
      <c r="P48" s="5">
        <v>12</v>
      </c>
      <c r="Q48" s="5">
        <v>12</v>
      </c>
      <c r="R48" s="5">
        <v>18</v>
      </c>
      <c r="S48" s="5">
        <v>18</v>
      </c>
      <c r="T48" s="5">
        <v>12</v>
      </c>
      <c r="U48" s="5">
        <v>12</v>
      </c>
      <c r="V48" s="5">
        <v>12</v>
      </c>
      <c r="W48" s="9"/>
      <c r="X48" s="10"/>
    </row>
    <row r="49" spans="2:24" ht="47.45" customHeight="1">
      <c r="B49" s="13">
        <v>11786901</v>
      </c>
      <c r="C49" s="13" t="s">
        <v>183</v>
      </c>
      <c r="D49" s="13" t="s">
        <v>184</v>
      </c>
      <c r="E49" s="13">
        <v>2018</v>
      </c>
      <c r="F49" s="13" t="s">
        <v>87</v>
      </c>
      <c r="G49" s="13" t="s">
        <v>138</v>
      </c>
      <c r="H49" s="13" t="s">
        <v>185</v>
      </c>
      <c r="I49" s="13" t="s">
        <v>186</v>
      </c>
      <c r="J49" s="5" t="s">
        <v>51</v>
      </c>
      <c r="K49" s="17">
        <v>0.75</v>
      </c>
      <c r="L49" s="17" t="s">
        <v>187</v>
      </c>
      <c r="M49" s="12">
        <v>240</v>
      </c>
      <c r="N49" s="12">
        <f>Tabell2[[#This Row],[Salgspris]]*Tabell2[[#This Row],[Totalt antall]]</f>
        <v>100752</v>
      </c>
      <c r="O49" s="5">
        <v>102</v>
      </c>
      <c r="P49" s="5">
        <v>24</v>
      </c>
      <c r="Q49" s="5">
        <v>18</v>
      </c>
      <c r="R49" s="5">
        <v>24</v>
      </c>
      <c r="S49" s="5">
        <v>24</v>
      </c>
      <c r="T49" s="5">
        <v>18</v>
      </c>
      <c r="U49" s="5">
        <v>18</v>
      </c>
      <c r="V49" s="5">
        <v>12</v>
      </c>
      <c r="W49" s="9"/>
      <c r="X49" s="10"/>
    </row>
    <row r="50" spans="2:24" ht="47.45" customHeight="1">
      <c r="B50" s="13">
        <v>11787201</v>
      </c>
      <c r="C50" s="13" t="s">
        <v>183</v>
      </c>
      <c r="D50" s="13" t="s">
        <v>188</v>
      </c>
      <c r="E50" s="13">
        <v>2018</v>
      </c>
      <c r="F50" s="13" t="s">
        <v>87</v>
      </c>
      <c r="G50" s="13" t="s">
        <v>138</v>
      </c>
      <c r="H50" s="13" t="s">
        <v>185</v>
      </c>
      <c r="I50" s="13" t="s">
        <v>186</v>
      </c>
      <c r="J50" s="5" t="s">
        <v>51</v>
      </c>
      <c r="K50" s="17">
        <v>0.75</v>
      </c>
      <c r="L50" s="17" t="s">
        <v>189</v>
      </c>
      <c r="M50" s="12">
        <v>96</v>
      </c>
      <c r="N50" s="12">
        <f>Tabell2[[#This Row],[Salgspris]]*Tabell2[[#This Row],[Totalt antall]]</f>
        <v>69513.600000000006</v>
      </c>
      <c r="O50" s="5">
        <v>30</v>
      </c>
      <c r="P50" s="5">
        <v>12</v>
      </c>
      <c r="Q50" s="5">
        <v>6</v>
      </c>
      <c r="R50" s="5">
        <v>12</v>
      </c>
      <c r="S50" s="5">
        <v>12</v>
      </c>
      <c r="T50" s="5">
        <v>6</v>
      </c>
      <c r="U50" s="5">
        <v>6</v>
      </c>
      <c r="V50" s="5">
        <v>12</v>
      </c>
      <c r="W50" s="9"/>
      <c r="X50" s="10"/>
    </row>
    <row r="51" spans="2:24" ht="47.45" customHeight="1">
      <c r="B51" s="13">
        <v>11786801</v>
      </c>
      <c r="C51" s="13" t="s">
        <v>183</v>
      </c>
      <c r="D51" s="13" t="s">
        <v>190</v>
      </c>
      <c r="E51" s="13">
        <v>2018</v>
      </c>
      <c r="F51" s="13" t="s">
        <v>87</v>
      </c>
      <c r="G51" s="13" t="s">
        <v>138</v>
      </c>
      <c r="H51" s="13" t="s">
        <v>185</v>
      </c>
      <c r="I51" s="13" t="s">
        <v>186</v>
      </c>
      <c r="J51" s="5" t="s">
        <v>51</v>
      </c>
      <c r="K51" s="17">
        <v>0.75</v>
      </c>
      <c r="L51" s="17" t="s">
        <v>191</v>
      </c>
      <c r="M51" s="12">
        <v>300</v>
      </c>
      <c r="N51" s="12">
        <f>Tabell2[[#This Row],[Salgspris]]*Tabell2[[#This Row],[Totalt antall]]</f>
        <v>94440</v>
      </c>
      <c r="O51" s="5">
        <v>132</v>
      </c>
      <c r="P51" s="5">
        <v>24</v>
      </c>
      <c r="Q51" s="5">
        <v>24</v>
      </c>
      <c r="R51" s="5">
        <v>24</v>
      </c>
      <c r="S51" s="5">
        <v>24</v>
      </c>
      <c r="T51" s="5">
        <v>24</v>
      </c>
      <c r="U51" s="5">
        <v>24</v>
      </c>
      <c r="V51" s="5">
        <v>24</v>
      </c>
      <c r="W51" s="9"/>
      <c r="X51" s="10"/>
    </row>
    <row r="52" spans="2:24" ht="47.45" customHeight="1">
      <c r="B52" s="13">
        <v>11787105</v>
      </c>
      <c r="C52" s="13" t="s">
        <v>183</v>
      </c>
      <c r="D52" s="13" t="s">
        <v>190</v>
      </c>
      <c r="E52" s="13">
        <v>2018</v>
      </c>
      <c r="F52" s="13" t="s">
        <v>87</v>
      </c>
      <c r="G52" s="13" t="s">
        <v>138</v>
      </c>
      <c r="H52" s="13" t="s">
        <v>185</v>
      </c>
      <c r="I52" s="13" t="s">
        <v>186</v>
      </c>
      <c r="J52" s="5" t="s">
        <v>51</v>
      </c>
      <c r="K52" s="17">
        <v>1.5</v>
      </c>
      <c r="L52" s="17" t="s">
        <v>192</v>
      </c>
      <c r="M52" s="12">
        <v>60</v>
      </c>
      <c r="N52" s="12">
        <f>Tabell2[[#This Row],[Salgspris]]*Tabell2[[#This Row],[Totalt antall]]</f>
        <v>41628</v>
      </c>
      <c r="O52" s="5">
        <v>24</v>
      </c>
      <c r="P52" s="5">
        <v>6</v>
      </c>
      <c r="Q52" s="5">
        <v>6</v>
      </c>
      <c r="R52" s="5">
        <v>6</v>
      </c>
      <c r="S52" s="5">
        <v>6</v>
      </c>
      <c r="T52" s="5">
        <v>6</v>
      </c>
      <c r="U52" s="5">
        <v>6</v>
      </c>
      <c r="V52" s="5"/>
      <c r="W52" s="9"/>
      <c r="X52" s="10"/>
    </row>
    <row r="53" spans="2:24" ht="47.45" customHeight="1">
      <c r="B53" s="13">
        <v>11787001</v>
      </c>
      <c r="C53" s="13" t="s">
        <v>183</v>
      </c>
      <c r="D53" s="13" t="s">
        <v>193</v>
      </c>
      <c r="E53" s="13">
        <v>2018</v>
      </c>
      <c r="F53" s="13" t="s">
        <v>87</v>
      </c>
      <c r="G53" s="13" t="s">
        <v>138</v>
      </c>
      <c r="H53" s="13" t="s">
        <v>185</v>
      </c>
      <c r="I53" s="13" t="s">
        <v>186</v>
      </c>
      <c r="J53" s="5" t="s">
        <v>51</v>
      </c>
      <c r="K53" s="17">
        <v>0.75</v>
      </c>
      <c r="L53" s="17" t="s">
        <v>194</v>
      </c>
      <c r="M53" s="12">
        <v>240</v>
      </c>
      <c r="N53" s="12">
        <f>Tabell2[[#This Row],[Salgspris]]*Tabell2[[#This Row],[Totalt antall]]</f>
        <v>88272</v>
      </c>
      <c r="O53" s="5">
        <v>102</v>
      </c>
      <c r="P53" s="5">
        <v>24</v>
      </c>
      <c r="Q53" s="5">
        <v>18</v>
      </c>
      <c r="R53" s="5">
        <v>24</v>
      </c>
      <c r="S53" s="5">
        <v>24</v>
      </c>
      <c r="T53" s="5">
        <v>18</v>
      </c>
      <c r="U53" s="5">
        <v>18</v>
      </c>
      <c r="V53" s="5">
        <v>12</v>
      </c>
      <c r="W53" s="9"/>
      <c r="X53" s="10"/>
    </row>
    <row r="54" spans="2:24" ht="47.45" customHeight="1">
      <c r="B54" s="13">
        <v>11787305</v>
      </c>
      <c r="C54" s="13" t="s">
        <v>183</v>
      </c>
      <c r="D54" s="13" t="s">
        <v>193</v>
      </c>
      <c r="E54" s="13">
        <v>2018</v>
      </c>
      <c r="F54" s="13" t="s">
        <v>87</v>
      </c>
      <c r="G54" s="13" t="s">
        <v>138</v>
      </c>
      <c r="H54" s="13" t="s">
        <v>185</v>
      </c>
      <c r="I54" s="13" t="s">
        <v>186</v>
      </c>
      <c r="J54" s="5" t="s">
        <v>51</v>
      </c>
      <c r="K54" s="17">
        <v>1.5</v>
      </c>
      <c r="L54" s="17" t="s">
        <v>195</v>
      </c>
      <c r="M54" s="12">
        <v>60</v>
      </c>
      <c r="N54" s="12">
        <f>Tabell2[[#This Row],[Salgspris]]*Tabell2[[#This Row],[Totalt antall]]</f>
        <v>47628</v>
      </c>
      <c r="O54" s="5">
        <v>24</v>
      </c>
      <c r="P54" s="5">
        <v>6</v>
      </c>
      <c r="Q54" s="5">
        <v>6</v>
      </c>
      <c r="R54" s="5">
        <v>6</v>
      </c>
      <c r="S54" s="5">
        <v>6</v>
      </c>
      <c r="T54" s="5">
        <v>6</v>
      </c>
      <c r="U54" s="5">
        <v>6</v>
      </c>
      <c r="V54" s="5"/>
      <c r="W54" s="21"/>
      <c r="X54" s="10"/>
    </row>
    <row r="55" spans="2:24" ht="47.45" customHeight="1">
      <c r="B55" s="13">
        <v>11784201</v>
      </c>
      <c r="C55" s="13" t="s">
        <v>196</v>
      </c>
      <c r="D55" s="13" t="s">
        <v>149</v>
      </c>
      <c r="E55" s="13">
        <v>2018</v>
      </c>
      <c r="F55" s="13" t="s">
        <v>87</v>
      </c>
      <c r="G55" s="13" t="s">
        <v>138</v>
      </c>
      <c r="H55" s="13" t="s">
        <v>150</v>
      </c>
      <c r="I55" s="13" t="s">
        <v>151</v>
      </c>
      <c r="J55" s="5" t="s">
        <v>51</v>
      </c>
      <c r="K55" s="17">
        <v>0.75</v>
      </c>
      <c r="L55" s="17" t="s">
        <v>197</v>
      </c>
      <c r="M55" s="12">
        <v>36</v>
      </c>
      <c r="N55" s="12">
        <f>Tabell2[[#This Row],[Salgspris]]*Tabell2[[#This Row],[Totalt antall]]</f>
        <v>16952.399999999998</v>
      </c>
      <c r="O55" s="5">
        <v>18</v>
      </c>
      <c r="P55" s="5">
        <v>6</v>
      </c>
      <c r="Q55" s="5"/>
      <c r="R55" s="5">
        <v>6</v>
      </c>
      <c r="S55" s="5">
        <v>6</v>
      </c>
      <c r="T55" s="5"/>
      <c r="U55" s="5"/>
      <c r="V55" s="5"/>
      <c r="W55" s="21"/>
      <c r="X55" s="10"/>
    </row>
    <row r="56" spans="2:24" ht="47.45" customHeight="1">
      <c r="B56" s="13">
        <v>11784101</v>
      </c>
      <c r="C56" s="13" t="s">
        <v>196</v>
      </c>
      <c r="D56" s="13" t="s">
        <v>153</v>
      </c>
      <c r="E56" s="13">
        <v>2018</v>
      </c>
      <c r="F56" s="13" t="s">
        <v>87</v>
      </c>
      <c r="G56" s="13" t="s">
        <v>138</v>
      </c>
      <c r="H56" s="13" t="s">
        <v>150</v>
      </c>
      <c r="I56" s="13" t="s">
        <v>151</v>
      </c>
      <c r="J56" s="5" t="s">
        <v>51</v>
      </c>
      <c r="K56" s="17">
        <v>0.75</v>
      </c>
      <c r="L56" s="17" t="s">
        <v>198</v>
      </c>
      <c r="M56" s="12">
        <v>36</v>
      </c>
      <c r="N56" s="12">
        <f>Tabell2[[#This Row],[Salgspris]]*Tabell2[[#This Row],[Totalt antall]]</f>
        <v>16920</v>
      </c>
      <c r="O56" s="5">
        <v>18</v>
      </c>
      <c r="P56" s="5">
        <v>6</v>
      </c>
      <c r="Q56" s="5"/>
      <c r="R56" s="5">
        <v>6</v>
      </c>
      <c r="S56" s="5">
        <v>6</v>
      </c>
      <c r="T56" s="5"/>
      <c r="U56" s="5"/>
      <c r="V56" s="5"/>
      <c r="W56" s="9"/>
      <c r="X56" s="10"/>
    </row>
    <row r="57" spans="2:24" ht="47.45" customHeight="1">
      <c r="B57" s="13">
        <v>11796801</v>
      </c>
      <c r="C57" s="13" t="s">
        <v>196</v>
      </c>
      <c r="D57" s="13" t="s">
        <v>199</v>
      </c>
      <c r="E57" s="13">
        <v>2018</v>
      </c>
      <c r="F57" s="13" t="s">
        <v>87</v>
      </c>
      <c r="G57" s="13" t="s">
        <v>138</v>
      </c>
      <c r="H57" s="13" t="s">
        <v>150</v>
      </c>
      <c r="I57" s="13" t="s">
        <v>151</v>
      </c>
      <c r="J57" s="5" t="s">
        <v>51</v>
      </c>
      <c r="K57" s="18">
        <v>0.75</v>
      </c>
      <c r="L57" s="18">
        <v>336</v>
      </c>
      <c r="M57" s="15">
        <v>36</v>
      </c>
      <c r="N57" s="15">
        <f>Tabell2[[#This Row],[Salgspris]]*Tabell2[[#This Row],[Totalt antall]]</f>
        <v>12096</v>
      </c>
      <c r="O57" s="5">
        <v>18</v>
      </c>
      <c r="P57" s="5"/>
      <c r="Q57" s="5">
        <v>6</v>
      </c>
      <c r="R57" s="5"/>
      <c r="S57" s="5"/>
      <c r="T57" s="5">
        <v>6</v>
      </c>
      <c r="U57" s="5">
        <v>6</v>
      </c>
      <c r="V57" s="5"/>
      <c r="W57" s="9"/>
      <c r="X57" s="10"/>
    </row>
    <row r="58" spans="2:24" ht="47.45" customHeight="1">
      <c r="B58" s="13">
        <v>11784401</v>
      </c>
      <c r="C58" s="13" t="s">
        <v>196</v>
      </c>
      <c r="D58" s="13" t="s">
        <v>200</v>
      </c>
      <c r="E58" s="13">
        <v>2018</v>
      </c>
      <c r="F58" s="13" t="s">
        <v>87</v>
      </c>
      <c r="G58" s="13" t="s">
        <v>138</v>
      </c>
      <c r="H58" s="13" t="s">
        <v>201</v>
      </c>
      <c r="I58" s="13" t="s">
        <v>202</v>
      </c>
      <c r="J58" s="5" t="s">
        <v>51</v>
      </c>
      <c r="K58" s="17">
        <v>0.75</v>
      </c>
      <c r="L58" s="17" t="s">
        <v>203</v>
      </c>
      <c r="M58" s="12">
        <v>72</v>
      </c>
      <c r="N58" s="12">
        <f>Tabell2[[#This Row],[Salgspris]]*Tabell2[[#This Row],[Totalt antall]]</f>
        <v>33825.599999999999</v>
      </c>
      <c r="O58" s="5">
        <v>30</v>
      </c>
      <c r="P58" s="5">
        <v>6</v>
      </c>
      <c r="Q58" s="5">
        <v>6</v>
      </c>
      <c r="R58" s="5">
        <v>6</v>
      </c>
      <c r="S58" s="5">
        <v>6</v>
      </c>
      <c r="T58" s="5">
        <v>6</v>
      </c>
      <c r="U58" s="5">
        <v>6</v>
      </c>
      <c r="V58" s="5">
        <v>6</v>
      </c>
      <c r="W58" s="9"/>
      <c r="X58" s="10"/>
    </row>
    <row r="59" spans="2:24" ht="47.45" customHeight="1">
      <c r="B59" s="13">
        <v>8201801</v>
      </c>
      <c r="C59" s="13" t="s">
        <v>196</v>
      </c>
      <c r="D59" s="13" t="s">
        <v>204</v>
      </c>
      <c r="E59" s="13">
        <v>2018</v>
      </c>
      <c r="F59" s="13" t="s">
        <v>87</v>
      </c>
      <c r="G59" s="13" t="s">
        <v>138</v>
      </c>
      <c r="H59" s="13" t="s">
        <v>205</v>
      </c>
      <c r="I59" s="13" t="s">
        <v>206</v>
      </c>
      <c r="J59" s="5" t="s">
        <v>51</v>
      </c>
      <c r="K59" s="17">
        <v>0.75</v>
      </c>
      <c r="L59" s="17" t="s">
        <v>203</v>
      </c>
      <c r="M59" s="12">
        <v>36</v>
      </c>
      <c r="N59" s="12">
        <f>Tabell2[[#This Row],[Salgspris]]*Tabell2[[#This Row],[Totalt antall]]</f>
        <v>16912.8</v>
      </c>
      <c r="O59" s="5">
        <v>18</v>
      </c>
      <c r="P59" s="5">
        <v>3</v>
      </c>
      <c r="Q59" s="5">
        <v>3</v>
      </c>
      <c r="R59" s="5">
        <v>3</v>
      </c>
      <c r="S59" s="5">
        <v>3</v>
      </c>
      <c r="T59" s="5">
        <v>3</v>
      </c>
      <c r="U59" s="5">
        <v>3</v>
      </c>
      <c r="V59" s="5"/>
      <c r="W59" s="9"/>
      <c r="X59" s="10"/>
    </row>
    <row r="60" spans="2:24" ht="47.45" customHeight="1">
      <c r="B60" s="13">
        <v>11784301</v>
      </c>
      <c r="C60" s="13" t="s">
        <v>196</v>
      </c>
      <c r="D60" s="13" t="s">
        <v>207</v>
      </c>
      <c r="E60" s="13">
        <v>2018</v>
      </c>
      <c r="F60" s="13" t="s">
        <v>87</v>
      </c>
      <c r="G60" s="13" t="s">
        <v>138</v>
      </c>
      <c r="H60" s="13" t="s">
        <v>159</v>
      </c>
      <c r="I60" s="13" t="s">
        <v>160</v>
      </c>
      <c r="J60" s="5" t="s">
        <v>51</v>
      </c>
      <c r="K60" s="17">
        <v>0.75</v>
      </c>
      <c r="L60" s="17" t="s">
        <v>203</v>
      </c>
      <c r="M60" s="12">
        <v>36</v>
      </c>
      <c r="N60" s="12">
        <f>Tabell2[[#This Row],[Salgspris]]*Tabell2[[#This Row],[Totalt antall]]</f>
        <v>16912.8</v>
      </c>
      <c r="O60" s="5">
        <v>18</v>
      </c>
      <c r="P60" s="5">
        <v>6</v>
      </c>
      <c r="Q60" s="5"/>
      <c r="R60" s="5">
        <v>6</v>
      </c>
      <c r="S60" s="5">
        <v>6</v>
      </c>
      <c r="T60" s="5"/>
      <c r="U60" s="5"/>
      <c r="V60" s="5"/>
      <c r="W60" s="9"/>
      <c r="X60" s="10"/>
    </row>
    <row r="61" spans="2:24" ht="47.45" customHeight="1">
      <c r="B61" s="13">
        <v>10087201</v>
      </c>
      <c r="C61" s="13" t="s">
        <v>196</v>
      </c>
      <c r="D61" s="13" t="s">
        <v>208</v>
      </c>
      <c r="E61" s="13">
        <v>2018</v>
      </c>
      <c r="F61" s="13" t="s">
        <v>87</v>
      </c>
      <c r="G61" s="13" t="s">
        <v>138</v>
      </c>
      <c r="H61" s="13" t="s">
        <v>185</v>
      </c>
      <c r="I61" s="13" t="s">
        <v>186</v>
      </c>
      <c r="J61" s="5" t="s">
        <v>51</v>
      </c>
      <c r="K61" s="17">
        <v>0.75</v>
      </c>
      <c r="L61" s="17" t="s">
        <v>203</v>
      </c>
      <c r="M61" s="12">
        <v>72</v>
      </c>
      <c r="N61" s="12">
        <f>Tabell2[[#This Row],[Salgspris]]*Tabell2[[#This Row],[Totalt antall]]</f>
        <v>33825.599999999999</v>
      </c>
      <c r="O61" s="5">
        <v>30</v>
      </c>
      <c r="P61" s="5">
        <v>6</v>
      </c>
      <c r="Q61" s="5">
        <v>6</v>
      </c>
      <c r="R61" s="5">
        <v>6</v>
      </c>
      <c r="S61" s="5">
        <v>6</v>
      </c>
      <c r="T61" s="5">
        <v>6</v>
      </c>
      <c r="U61" s="5">
        <v>6</v>
      </c>
      <c r="V61" s="5">
        <v>6</v>
      </c>
      <c r="W61" s="9"/>
      <c r="X61" s="10"/>
    </row>
    <row r="62" spans="2:24" ht="47.45" customHeight="1">
      <c r="B62" s="13">
        <v>11761701</v>
      </c>
      <c r="C62" s="13" t="s">
        <v>209</v>
      </c>
      <c r="D62" s="13" t="s">
        <v>210</v>
      </c>
      <c r="E62" s="13">
        <v>2018</v>
      </c>
      <c r="F62" s="13" t="s">
        <v>87</v>
      </c>
      <c r="G62" s="13" t="s">
        <v>138</v>
      </c>
      <c r="H62" s="13" t="s">
        <v>211</v>
      </c>
      <c r="I62" s="13" t="s">
        <v>212</v>
      </c>
      <c r="J62" s="5" t="s">
        <v>51</v>
      </c>
      <c r="K62" s="17">
        <v>0.75</v>
      </c>
      <c r="L62" s="17" t="s">
        <v>213</v>
      </c>
      <c r="M62" s="12">
        <v>120</v>
      </c>
      <c r="N62" s="12">
        <f>Tabell2[[#This Row],[Salgspris]]*Tabell2[[#This Row],[Totalt antall]]</f>
        <v>51660</v>
      </c>
      <c r="O62" s="5">
        <v>36</v>
      </c>
      <c r="P62" s="5">
        <v>12</v>
      </c>
      <c r="Q62" s="5">
        <v>12</v>
      </c>
      <c r="R62" s="5">
        <v>12</v>
      </c>
      <c r="S62" s="5">
        <v>12</v>
      </c>
      <c r="T62" s="5">
        <v>12</v>
      </c>
      <c r="U62" s="5">
        <v>12</v>
      </c>
      <c r="V62" s="5">
        <v>12</v>
      </c>
      <c r="W62" s="21"/>
      <c r="X62" s="10"/>
    </row>
    <row r="63" spans="2:24" ht="47.45" customHeight="1">
      <c r="B63" s="13">
        <v>11761801</v>
      </c>
      <c r="C63" s="13" t="s">
        <v>209</v>
      </c>
      <c r="D63" s="13" t="s">
        <v>214</v>
      </c>
      <c r="E63" s="13">
        <v>2018</v>
      </c>
      <c r="F63" s="13" t="s">
        <v>87</v>
      </c>
      <c r="G63" s="13" t="s">
        <v>138</v>
      </c>
      <c r="H63" s="13" t="s">
        <v>211</v>
      </c>
      <c r="I63" s="13" t="s">
        <v>212</v>
      </c>
      <c r="J63" s="5" t="s">
        <v>51</v>
      </c>
      <c r="K63" s="17">
        <v>0.75</v>
      </c>
      <c r="L63" s="17" t="s">
        <v>215</v>
      </c>
      <c r="M63" s="12">
        <v>240</v>
      </c>
      <c r="N63" s="12">
        <f>Tabell2[[#This Row],[Salgspris]]*Tabell2[[#This Row],[Totalt antall]]</f>
        <v>73368</v>
      </c>
      <c r="O63" s="5">
        <v>72</v>
      </c>
      <c r="P63" s="5">
        <v>30</v>
      </c>
      <c r="Q63" s="5">
        <v>24</v>
      </c>
      <c r="R63" s="5">
        <v>30</v>
      </c>
      <c r="S63" s="5">
        <v>30</v>
      </c>
      <c r="T63" s="5">
        <v>24</v>
      </c>
      <c r="U63" s="5">
        <v>24</v>
      </c>
      <c r="V63" s="5">
        <v>6</v>
      </c>
      <c r="W63" s="9"/>
      <c r="X63" s="10"/>
    </row>
    <row r="64" spans="2:24" ht="47.45" customHeight="1">
      <c r="B64" s="13">
        <v>11761901</v>
      </c>
      <c r="C64" s="13" t="s">
        <v>209</v>
      </c>
      <c r="D64" s="13" t="s">
        <v>216</v>
      </c>
      <c r="E64" s="13">
        <v>2018</v>
      </c>
      <c r="F64" s="13" t="s">
        <v>87</v>
      </c>
      <c r="G64" s="13" t="s">
        <v>138</v>
      </c>
      <c r="H64" s="13" t="s">
        <v>211</v>
      </c>
      <c r="I64" s="13" t="s">
        <v>212</v>
      </c>
      <c r="J64" s="5" t="s">
        <v>51</v>
      </c>
      <c r="K64" s="17">
        <v>0.75</v>
      </c>
      <c r="L64" s="17" t="s">
        <v>217</v>
      </c>
      <c r="M64" s="12">
        <v>120</v>
      </c>
      <c r="N64" s="12">
        <f>Tabell2[[#This Row],[Salgspris]]*Tabell2[[#This Row],[Totalt antall]]</f>
        <v>40284</v>
      </c>
      <c r="O64" s="5">
        <v>36</v>
      </c>
      <c r="P64" s="5">
        <v>12</v>
      </c>
      <c r="Q64" s="5">
        <v>12</v>
      </c>
      <c r="R64" s="5">
        <v>12</v>
      </c>
      <c r="S64" s="5">
        <v>12</v>
      </c>
      <c r="T64" s="5">
        <v>12</v>
      </c>
      <c r="U64" s="5">
        <v>12</v>
      </c>
      <c r="V64" s="5">
        <v>12</v>
      </c>
      <c r="W64" s="9"/>
      <c r="X64" s="10"/>
    </row>
    <row r="65" spans="2:24" ht="47.45" customHeight="1">
      <c r="B65" s="13">
        <v>11761601</v>
      </c>
      <c r="C65" s="13" t="s">
        <v>209</v>
      </c>
      <c r="D65" s="13" t="s">
        <v>218</v>
      </c>
      <c r="E65" s="13">
        <v>2018</v>
      </c>
      <c r="F65" s="13" t="s">
        <v>87</v>
      </c>
      <c r="G65" s="13" t="s">
        <v>138</v>
      </c>
      <c r="H65" s="13" t="s">
        <v>211</v>
      </c>
      <c r="I65" s="13" t="s">
        <v>219</v>
      </c>
      <c r="J65" s="5" t="s">
        <v>51</v>
      </c>
      <c r="K65" s="17">
        <v>0.75</v>
      </c>
      <c r="L65" s="17" t="s">
        <v>220</v>
      </c>
      <c r="M65" s="12">
        <v>120</v>
      </c>
      <c r="N65" s="12">
        <f>Tabell2[[#This Row],[Salgspris]]*Tabell2[[#This Row],[Totalt antall]]</f>
        <v>51684</v>
      </c>
      <c r="O65" s="5">
        <v>36</v>
      </c>
      <c r="P65" s="5">
        <v>12</v>
      </c>
      <c r="Q65" s="5">
        <v>12</v>
      </c>
      <c r="R65" s="5">
        <v>12</v>
      </c>
      <c r="S65" s="5">
        <v>12</v>
      </c>
      <c r="T65" s="5">
        <v>12</v>
      </c>
      <c r="U65" s="5">
        <v>12</v>
      </c>
      <c r="V65" s="5">
        <v>12</v>
      </c>
      <c r="W65" s="9"/>
      <c r="X65" s="10"/>
    </row>
    <row r="66" spans="2:24" ht="47.45" customHeight="1">
      <c r="B66" s="13">
        <v>11762401</v>
      </c>
      <c r="C66" s="13" t="s">
        <v>221</v>
      </c>
      <c r="D66" s="13" t="s">
        <v>222</v>
      </c>
      <c r="E66" s="13">
        <v>2018</v>
      </c>
      <c r="F66" s="13" t="s">
        <v>87</v>
      </c>
      <c r="G66" s="13" t="s">
        <v>138</v>
      </c>
      <c r="H66" s="13" t="s">
        <v>223</v>
      </c>
      <c r="I66" s="13" t="s">
        <v>224</v>
      </c>
      <c r="J66" s="5" t="s">
        <v>51</v>
      </c>
      <c r="K66" s="17">
        <v>0.75</v>
      </c>
      <c r="L66" s="17" t="s">
        <v>225</v>
      </c>
      <c r="M66" s="12">
        <v>120</v>
      </c>
      <c r="N66" s="12">
        <f>Tabell2[[#This Row],[Salgspris]]*Tabell2[[#This Row],[Totalt antall]]</f>
        <v>46992</v>
      </c>
      <c r="O66" s="5">
        <v>36</v>
      </c>
      <c r="P66" s="5">
        <v>12</v>
      </c>
      <c r="Q66" s="5">
        <v>12</v>
      </c>
      <c r="R66" s="5">
        <v>12</v>
      </c>
      <c r="S66" s="5">
        <v>24</v>
      </c>
      <c r="T66" s="5">
        <v>12</v>
      </c>
      <c r="U66" s="5">
        <v>12</v>
      </c>
      <c r="V66" s="5"/>
      <c r="W66" s="9"/>
      <c r="X66" s="10"/>
    </row>
    <row r="67" spans="2:24" ht="47.45" customHeight="1">
      <c r="B67" s="13">
        <v>11762201</v>
      </c>
      <c r="C67" s="13" t="s">
        <v>226</v>
      </c>
      <c r="D67" s="13" t="s">
        <v>227</v>
      </c>
      <c r="E67" s="13">
        <v>2018</v>
      </c>
      <c r="F67" s="13" t="s">
        <v>87</v>
      </c>
      <c r="G67" s="13" t="s">
        <v>138</v>
      </c>
      <c r="H67" s="13" t="s">
        <v>228</v>
      </c>
      <c r="I67" s="13" t="s">
        <v>229</v>
      </c>
      <c r="J67" s="5" t="s">
        <v>51</v>
      </c>
      <c r="K67" s="17">
        <v>0.75</v>
      </c>
      <c r="L67" s="17" t="s">
        <v>230</v>
      </c>
      <c r="M67" s="12">
        <v>120</v>
      </c>
      <c r="N67" s="12">
        <f>Tabell2[[#This Row],[Salgspris]]*Tabell2[[#This Row],[Totalt antall]]</f>
        <v>38760</v>
      </c>
      <c r="O67" s="5">
        <v>36</v>
      </c>
      <c r="P67" s="5">
        <v>12</v>
      </c>
      <c r="Q67" s="5">
        <v>12</v>
      </c>
      <c r="R67" s="5">
        <v>12</v>
      </c>
      <c r="S67" s="5">
        <v>18</v>
      </c>
      <c r="T67" s="5">
        <v>6</v>
      </c>
      <c r="U67" s="5">
        <v>12</v>
      </c>
      <c r="V67" s="5">
        <v>12</v>
      </c>
      <c r="W67" s="9"/>
      <c r="X67" s="10"/>
    </row>
    <row r="68" spans="2:24" ht="47.45" customHeight="1">
      <c r="B68" s="13">
        <v>11762101</v>
      </c>
      <c r="C68" s="13" t="s">
        <v>226</v>
      </c>
      <c r="D68" s="13" t="s">
        <v>231</v>
      </c>
      <c r="E68" s="13">
        <v>2018</v>
      </c>
      <c r="F68" s="13" t="s">
        <v>87</v>
      </c>
      <c r="G68" s="13" t="s">
        <v>138</v>
      </c>
      <c r="H68" s="13" t="s">
        <v>232</v>
      </c>
      <c r="I68" s="13" t="s">
        <v>233</v>
      </c>
      <c r="J68" s="5" t="s">
        <v>51</v>
      </c>
      <c r="K68" s="17">
        <v>0.75</v>
      </c>
      <c r="L68" s="17" t="s">
        <v>234</v>
      </c>
      <c r="M68" s="12">
        <v>60</v>
      </c>
      <c r="N68" s="12">
        <f>Tabell2[[#This Row],[Salgspris]]*Tabell2[[#This Row],[Totalt antall]]</f>
        <v>24864</v>
      </c>
      <c r="O68" s="5">
        <v>24</v>
      </c>
      <c r="P68" s="5">
        <v>6</v>
      </c>
      <c r="Q68" s="5">
        <v>6</v>
      </c>
      <c r="R68" s="5">
        <v>6</v>
      </c>
      <c r="S68" s="5">
        <v>6</v>
      </c>
      <c r="T68" s="5">
        <v>6</v>
      </c>
      <c r="U68" s="5">
        <v>6</v>
      </c>
      <c r="V68" s="5"/>
      <c r="W68" s="9"/>
      <c r="X68" s="10"/>
    </row>
    <row r="69" spans="2:24" ht="47.45" customHeight="1">
      <c r="B69" s="13">
        <v>11762301</v>
      </c>
      <c r="C69" s="13" t="s">
        <v>226</v>
      </c>
      <c r="D69" s="13" t="s">
        <v>235</v>
      </c>
      <c r="E69" s="13">
        <v>2018</v>
      </c>
      <c r="F69" s="13" t="s">
        <v>87</v>
      </c>
      <c r="G69" s="13" t="s">
        <v>138</v>
      </c>
      <c r="H69" s="13" t="s">
        <v>159</v>
      </c>
      <c r="I69" s="13" t="s">
        <v>160</v>
      </c>
      <c r="J69" s="5" t="s">
        <v>51</v>
      </c>
      <c r="K69" s="17">
        <v>0.75</v>
      </c>
      <c r="L69" s="17" t="s">
        <v>230</v>
      </c>
      <c r="M69" s="12">
        <v>120</v>
      </c>
      <c r="N69" s="12">
        <f>Tabell2[[#This Row],[Salgspris]]*Tabell2[[#This Row],[Totalt antall]]</f>
        <v>38760</v>
      </c>
      <c r="O69" s="5">
        <v>36</v>
      </c>
      <c r="P69" s="5">
        <v>18</v>
      </c>
      <c r="Q69" s="5">
        <v>6</v>
      </c>
      <c r="R69" s="5">
        <v>12</v>
      </c>
      <c r="S69" s="5">
        <v>18</v>
      </c>
      <c r="T69" s="5">
        <v>6</v>
      </c>
      <c r="U69" s="5">
        <v>12</v>
      </c>
      <c r="V69" s="5">
        <v>12</v>
      </c>
      <c r="W69" s="9"/>
      <c r="X69" s="10"/>
    </row>
    <row r="70" spans="2:24" ht="47.45" customHeight="1">
      <c r="B70" s="13">
        <v>11777901</v>
      </c>
      <c r="C70" s="13" t="s">
        <v>236</v>
      </c>
      <c r="D70" s="13" t="s">
        <v>237</v>
      </c>
      <c r="E70" s="13">
        <v>2018</v>
      </c>
      <c r="F70" s="13" t="s">
        <v>87</v>
      </c>
      <c r="G70" s="13" t="s">
        <v>138</v>
      </c>
      <c r="H70" s="13" t="s">
        <v>238</v>
      </c>
      <c r="I70" s="13" t="s">
        <v>239</v>
      </c>
      <c r="J70" s="5" t="s">
        <v>51</v>
      </c>
      <c r="K70" s="17">
        <v>0.75</v>
      </c>
      <c r="L70" s="17" t="s">
        <v>240</v>
      </c>
      <c r="M70" s="12">
        <v>120</v>
      </c>
      <c r="N70" s="12">
        <f>Tabell2[[#This Row],[Salgspris]]*Tabell2[[#This Row],[Totalt antall]]</f>
        <v>32520</v>
      </c>
      <c r="O70" s="5">
        <v>36</v>
      </c>
      <c r="P70" s="5">
        <v>18</v>
      </c>
      <c r="Q70" s="5">
        <v>12</v>
      </c>
      <c r="R70" s="5">
        <v>12</v>
      </c>
      <c r="S70" s="5">
        <v>18</v>
      </c>
      <c r="T70" s="5">
        <v>12</v>
      </c>
      <c r="U70" s="5">
        <v>12</v>
      </c>
      <c r="V70" s="5"/>
      <c r="W70" s="9"/>
      <c r="X70" s="10"/>
    </row>
    <row r="71" spans="2:24" ht="47.45" customHeight="1">
      <c r="B71" s="13">
        <v>11777801</v>
      </c>
      <c r="C71" s="13" t="s">
        <v>236</v>
      </c>
      <c r="D71" s="13" t="s">
        <v>241</v>
      </c>
      <c r="E71" s="13">
        <v>2018</v>
      </c>
      <c r="F71" s="13" t="s">
        <v>87</v>
      </c>
      <c r="G71" s="13" t="s">
        <v>138</v>
      </c>
      <c r="H71" s="13" t="s">
        <v>238</v>
      </c>
      <c r="I71" s="13" t="s">
        <v>242</v>
      </c>
      <c r="J71" s="5" t="s">
        <v>51</v>
      </c>
      <c r="K71" s="17">
        <v>0.75</v>
      </c>
      <c r="L71" s="17" t="s">
        <v>243</v>
      </c>
      <c r="M71" s="12">
        <v>84</v>
      </c>
      <c r="N71" s="12">
        <f>Tabell2[[#This Row],[Salgspris]]*Tabell2[[#This Row],[Totalt antall]]</f>
        <v>31038</v>
      </c>
      <c r="O71" s="5">
        <v>30</v>
      </c>
      <c r="P71" s="5">
        <v>12</v>
      </c>
      <c r="Q71" s="5">
        <v>6</v>
      </c>
      <c r="R71" s="5">
        <v>6</v>
      </c>
      <c r="S71" s="5">
        <v>12</v>
      </c>
      <c r="T71" s="5">
        <v>6</v>
      </c>
      <c r="U71" s="5">
        <v>6</v>
      </c>
      <c r="V71" s="5">
        <v>6</v>
      </c>
      <c r="W71" s="9"/>
      <c r="X71" s="10"/>
    </row>
    <row r="72" spans="2:24" ht="47.45" customHeight="1">
      <c r="B72" s="13">
        <v>11761301</v>
      </c>
      <c r="C72" s="13" t="s">
        <v>244</v>
      </c>
      <c r="D72" s="13" t="s">
        <v>245</v>
      </c>
      <c r="E72" s="13">
        <v>2018</v>
      </c>
      <c r="F72" s="13" t="s">
        <v>87</v>
      </c>
      <c r="G72" s="13" t="s">
        <v>138</v>
      </c>
      <c r="H72" s="13" t="s">
        <v>246</v>
      </c>
      <c r="I72" s="13" t="s">
        <v>247</v>
      </c>
      <c r="J72" s="5" t="s">
        <v>51</v>
      </c>
      <c r="K72" s="17">
        <v>0.75</v>
      </c>
      <c r="L72" s="17" t="s">
        <v>248</v>
      </c>
      <c r="M72" s="12">
        <v>180</v>
      </c>
      <c r="N72" s="12">
        <f>Tabell2[[#This Row],[Salgspris]]*Tabell2[[#This Row],[Totalt antall]]</f>
        <v>42480</v>
      </c>
      <c r="O72" s="5">
        <v>60</v>
      </c>
      <c r="P72" s="5">
        <v>24</v>
      </c>
      <c r="Q72" s="5">
        <v>12</v>
      </c>
      <c r="R72" s="5">
        <v>24</v>
      </c>
      <c r="S72" s="5">
        <v>24</v>
      </c>
      <c r="T72" s="5">
        <v>12</v>
      </c>
      <c r="U72" s="5">
        <v>12</v>
      </c>
      <c r="V72" s="5">
        <v>12</v>
      </c>
      <c r="W72" s="9"/>
      <c r="X72" s="10"/>
    </row>
    <row r="73" spans="2:24" ht="47.45" customHeight="1">
      <c r="B73" s="13">
        <v>11761101</v>
      </c>
      <c r="C73" s="13" t="s">
        <v>244</v>
      </c>
      <c r="D73" s="13" t="s">
        <v>249</v>
      </c>
      <c r="E73" s="13">
        <v>2018</v>
      </c>
      <c r="F73" s="13" t="s">
        <v>87</v>
      </c>
      <c r="G73" s="13" t="s">
        <v>138</v>
      </c>
      <c r="H73" s="13" t="s">
        <v>246</v>
      </c>
      <c r="I73" s="13" t="s">
        <v>247</v>
      </c>
      <c r="J73" s="5" t="s">
        <v>51</v>
      </c>
      <c r="K73" s="17">
        <v>0.75</v>
      </c>
      <c r="L73" s="17" t="s">
        <v>250</v>
      </c>
      <c r="M73" s="12">
        <v>132</v>
      </c>
      <c r="N73" s="12">
        <f>Tabell2[[#This Row],[Salgspris]]*Tabell2[[#This Row],[Totalt antall]]</f>
        <v>41844</v>
      </c>
      <c r="O73" s="5">
        <v>48</v>
      </c>
      <c r="P73" s="5">
        <v>12</v>
      </c>
      <c r="Q73" s="5">
        <v>12</v>
      </c>
      <c r="R73" s="5">
        <v>12</v>
      </c>
      <c r="S73" s="5">
        <v>12</v>
      </c>
      <c r="T73" s="5">
        <v>12</v>
      </c>
      <c r="U73" s="5">
        <v>12</v>
      </c>
      <c r="V73" s="5">
        <v>12</v>
      </c>
      <c r="W73" s="9"/>
      <c r="X73" s="10"/>
    </row>
    <row r="74" spans="2:24" ht="47.45" customHeight="1">
      <c r="B74" s="13">
        <v>11761201</v>
      </c>
      <c r="C74" s="13" t="s">
        <v>244</v>
      </c>
      <c r="D74" s="13" t="s">
        <v>251</v>
      </c>
      <c r="E74" s="13">
        <v>2017</v>
      </c>
      <c r="F74" s="13" t="s">
        <v>87</v>
      </c>
      <c r="G74" s="13" t="s">
        <v>138</v>
      </c>
      <c r="H74" s="13" t="s">
        <v>246</v>
      </c>
      <c r="J74" s="5" t="s">
        <v>51</v>
      </c>
      <c r="K74" s="17">
        <v>0.75</v>
      </c>
      <c r="L74" s="17" t="s">
        <v>252</v>
      </c>
      <c r="M74" s="12">
        <v>84</v>
      </c>
      <c r="N74" s="12">
        <f>Tabell2[[#This Row],[Salgspris]]*Tabell2[[#This Row],[Totalt antall]]</f>
        <v>21672</v>
      </c>
      <c r="O74" s="5">
        <v>30</v>
      </c>
      <c r="P74" s="5">
        <v>6</v>
      </c>
      <c r="Q74" s="5">
        <v>6</v>
      </c>
      <c r="R74" s="5">
        <v>12</v>
      </c>
      <c r="S74" s="5">
        <v>12</v>
      </c>
      <c r="T74" s="5">
        <v>6</v>
      </c>
      <c r="U74" s="5">
        <v>6</v>
      </c>
      <c r="V74" s="5">
        <v>6</v>
      </c>
      <c r="W74" s="9"/>
      <c r="X74" s="10"/>
    </row>
    <row r="75" spans="2:24" ht="47.45" customHeight="1">
      <c r="B75" s="13">
        <v>11760901</v>
      </c>
      <c r="C75" s="13" t="s">
        <v>253</v>
      </c>
      <c r="D75" s="13" t="s">
        <v>254</v>
      </c>
      <c r="E75" s="13">
        <v>2018</v>
      </c>
      <c r="F75" s="13" t="s">
        <v>87</v>
      </c>
      <c r="G75" s="13" t="s">
        <v>138</v>
      </c>
      <c r="H75" s="13" t="s">
        <v>255</v>
      </c>
      <c r="I75" s="13" t="s">
        <v>256</v>
      </c>
      <c r="J75" s="5" t="s">
        <v>51</v>
      </c>
      <c r="K75" s="17">
        <v>0.75</v>
      </c>
      <c r="L75" s="17" t="s">
        <v>257</v>
      </c>
      <c r="M75" s="12">
        <v>144</v>
      </c>
      <c r="N75" s="12">
        <f>Tabell2[[#This Row],[Salgspris]]*Tabell2[[#This Row],[Totalt antall]]</f>
        <v>37008</v>
      </c>
      <c r="O75" s="5">
        <v>42</v>
      </c>
      <c r="P75" s="5">
        <v>18</v>
      </c>
      <c r="Q75" s="5">
        <v>12</v>
      </c>
      <c r="R75" s="5">
        <v>18</v>
      </c>
      <c r="S75" s="5">
        <v>18</v>
      </c>
      <c r="T75" s="5">
        <v>12</v>
      </c>
      <c r="U75" s="5">
        <v>12</v>
      </c>
      <c r="V75" s="5">
        <v>12</v>
      </c>
      <c r="W75" s="9"/>
      <c r="X75" s="10"/>
    </row>
    <row r="76" spans="2:24" ht="47.45" customHeight="1">
      <c r="B76" s="13">
        <v>11761001</v>
      </c>
      <c r="C76" s="13" t="s">
        <v>253</v>
      </c>
      <c r="D76" s="13" t="s">
        <v>258</v>
      </c>
      <c r="E76" s="13">
        <v>2018</v>
      </c>
      <c r="F76" s="13" t="s">
        <v>87</v>
      </c>
      <c r="G76" s="13" t="s">
        <v>138</v>
      </c>
      <c r="H76" s="13" t="s">
        <v>255</v>
      </c>
      <c r="I76" s="13" t="s">
        <v>256</v>
      </c>
      <c r="J76" s="5" t="s">
        <v>51</v>
      </c>
      <c r="K76" s="17">
        <v>0.75</v>
      </c>
      <c r="L76" s="17" t="s">
        <v>259</v>
      </c>
      <c r="M76" s="12">
        <v>84</v>
      </c>
      <c r="N76" s="12">
        <f>Tabell2[[#This Row],[Salgspris]]*Tabell2[[#This Row],[Totalt antall]]</f>
        <v>31164</v>
      </c>
      <c r="O76" s="5">
        <v>36</v>
      </c>
      <c r="P76" s="5">
        <v>12</v>
      </c>
      <c r="Q76" s="5">
        <v>6</v>
      </c>
      <c r="R76" s="5">
        <v>6</v>
      </c>
      <c r="S76" s="5">
        <v>12</v>
      </c>
      <c r="T76" s="5">
        <v>6</v>
      </c>
      <c r="U76" s="5">
        <v>6</v>
      </c>
      <c r="V76" s="5"/>
      <c r="W76" s="9"/>
      <c r="X76" s="10"/>
    </row>
    <row r="77" spans="2:24" ht="47.45" customHeight="1">
      <c r="B77" s="13">
        <v>11761401</v>
      </c>
      <c r="C77" s="13" t="s">
        <v>253</v>
      </c>
      <c r="D77" s="13" t="s">
        <v>260</v>
      </c>
      <c r="E77" s="13">
        <v>2018</v>
      </c>
      <c r="F77" s="13" t="s">
        <v>87</v>
      </c>
      <c r="G77" s="13" t="s">
        <v>138</v>
      </c>
      <c r="H77" s="13" t="s">
        <v>255</v>
      </c>
      <c r="I77" s="13" t="s">
        <v>256</v>
      </c>
      <c r="J77" s="5" t="s">
        <v>51</v>
      </c>
      <c r="K77" s="17">
        <v>0.75</v>
      </c>
      <c r="L77" s="17" t="s">
        <v>261</v>
      </c>
      <c r="M77" s="12">
        <v>144</v>
      </c>
      <c r="N77" s="12">
        <f>Tabell2[[#This Row],[Salgspris]]*Tabell2[[#This Row],[Totalt antall]]</f>
        <v>36604.799999999996</v>
      </c>
      <c r="O77" s="5">
        <v>42</v>
      </c>
      <c r="P77" s="5">
        <v>18</v>
      </c>
      <c r="Q77" s="5">
        <v>12</v>
      </c>
      <c r="R77" s="5">
        <v>18</v>
      </c>
      <c r="S77" s="5">
        <v>18</v>
      </c>
      <c r="T77" s="5">
        <v>12</v>
      </c>
      <c r="U77" s="5">
        <v>12</v>
      </c>
      <c r="V77" s="5">
        <v>12</v>
      </c>
      <c r="W77" s="9"/>
      <c r="X77" s="10"/>
    </row>
    <row r="78" spans="2:24" ht="47.45" customHeight="1">
      <c r="B78" s="13">
        <v>11761501</v>
      </c>
      <c r="C78" s="13" t="s">
        <v>253</v>
      </c>
      <c r="D78" s="13" t="s">
        <v>262</v>
      </c>
      <c r="E78" s="13">
        <v>2014</v>
      </c>
      <c r="F78" s="13" t="s">
        <v>87</v>
      </c>
      <c r="G78" s="13" t="s">
        <v>138</v>
      </c>
      <c r="H78" s="13" t="s">
        <v>255</v>
      </c>
      <c r="I78" s="13" t="s">
        <v>256</v>
      </c>
      <c r="J78" s="5" t="s">
        <v>263</v>
      </c>
      <c r="K78" s="17">
        <v>0.75</v>
      </c>
      <c r="L78" s="17" t="s">
        <v>264</v>
      </c>
      <c r="M78" s="12">
        <v>84</v>
      </c>
      <c r="N78" s="12">
        <f>Tabell2[[#This Row],[Salgspris]]*Tabell2[[#This Row],[Totalt antall]]</f>
        <v>28308</v>
      </c>
      <c r="O78" s="5">
        <v>36</v>
      </c>
      <c r="P78" s="5">
        <v>6</v>
      </c>
      <c r="Q78" s="5">
        <v>6</v>
      </c>
      <c r="R78" s="5">
        <v>6</v>
      </c>
      <c r="S78" s="5">
        <v>12</v>
      </c>
      <c r="T78" s="5">
        <v>6</v>
      </c>
      <c r="U78" s="5">
        <v>6</v>
      </c>
      <c r="V78" s="5">
        <v>6</v>
      </c>
      <c r="W78" s="9"/>
      <c r="X78" s="10"/>
    </row>
    <row r="79" spans="2:24" ht="47.45" customHeight="1">
      <c r="B79" s="13">
        <v>11762001</v>
      </c>
      <c r="C79" s="13" t="s">
        <v>265</v>
      </c>
      <c r="D79" s="13" t="s">
        <v>266</v>
      </c>
      <c r="E79" s="13">
        <v>2018</v>
      </c>
      <c r="F79" s="13" t="s">
        <v>87</v>
      </c>
      <c r="G79" s="13" t="s">
        <v>138</v>
      </c>
      <c r="H79" s="13" t="s">
        <v>267</v>
      </c>
      <c r="I79" s="13" t="s">
        <v>268</v>
      </c>
      <c r="J79" s="5" t="s">
        <v>51</v>
      </c>
      <c r="K79" s="17">
        <v>0.75</v>
      </c>
      <c r="L79" s="17">
        <v>451.7</v>
      </c>
      <c r="M79" s="12">
        <v>120</v>
      </c>
      <c r="N79" s="12">
        <f>Tabell2[[#This Row],[Salgspris]]*Tabell2[[#This Row],[Totalt antall]]</f>
        <v>54204</v>
      </c>
      <c r="O79" s="5">
        <v>36</v>
      </c>
      <c r="P79" s="5">
        <v>12</v>
      </c>
      <c r="Q79" s="5">
        <v>12</v>
      </c>
      <c r="R79" s="5">
        <v>12</v>
      </c>
      <c r="S79" s="5">
        <v>12</v>
      </c>
      <c r="T79" s="5">
        <v>12</v>
      </c>
      <c r="U79" s="5">
        <v>12</v>
      </c>
      <c r="V79" s="5">
        <v>12</v>
      </c>
      <c r="W79" s="9"/>
      <c r="X79" s="10"/>
    </row>
    <row r="80" spans="2:24" ht="47.45" customHeight="1">
      <c r="B80" s="13">
        <v>11765301</v>
      </c>
      <c r="C80" s="13" t="s">
        <v>269</v>
      </c>
      <c r="D80" s="13" t="s">
        <v>270</v>
      </c>
      <c r="E80" s="13">
        <v>2018</v>
      </c>
      <c r="F80" s="13" t="s">
        <v>87</v>
      </c>
      <c r="G80" s="13" t="s">
        <v>138</v>
      </c>
      <c r="H80" s="13" t="s">
        <v>271</v>
      </c>
      <c r="I80" s="13" t="s">
        <v>272</v>
      </c>
      <c r="J80" s="5" t="s">
        <v>51</v>
      </c>
      <c r="K80" s="17">
        <v>0.75</v>
      </c>
      <c r="L80" s="17" t="s">
        <v>273</v>
      </c>
      <c r="M80" s="12">
        <v>60</v>
      </c>
      <c r="N80" s="12">
        <f>Tabell2[[#This Row],[Salgspris]]*Tabell2[[#This Row],[Totalt antall]]</f>
        <v>30996</v>
      </c>
      <c r="O80" s="5">
        <v>18</v>
      </c>
      <c r="P80" s="5">
        <v>6</v>
      </c>
      <c r="Q80" s="5">
        <v>6</v>
      </c>
      <c r="R80" s="5">
        <v>6</v>
      </c>
      <c r="S80" s="5">
        <v>12</v>
      </c>
      <c r="T80" s="5">
        <v>6</v>
      </c>
      <c r="U80" s="5">
        <v>6</v>
      </c>
      <c r="V80" s="5"/>
      <c r="W80" s="9"/>
      <c r="X80" s="10"/>
    </row>
    <row r="81" spans="2:24" ht="47.45" customHeight="1">
      <c r="B81" s="13">
        <v>11547701</v>
      </c>
      <c r="C81" s="13" t="s">
        <v>269</v>
      </c>
      <c r="D81" s="13" t="s">
        <v>274</v>
      </c>
      <c r="E81" s="13">
        <v>2018</v>
      </c>
      <c r="F81" s="13" t="s">
        <v>87</v>
      </c>
      <c r="G81" s="13" t="s">
        <v>138</v>
      </c>
      <c r="H81" s="13" t="s">
        <v>271</v>
      </c>
      <c r="I81" s="13" t="s">
        <v>272</v>
      </c>
      <c r="J81" s="5" t="s">
        <v>51</v>
      </c>
      <c r="K81" s="17">
        <v>0.75</v>
      </c>
      <c r="L81" s="17" t="s">
        <v>275</v>
      </c>
      <c r="M81" s="12">
        <v>96</v>
      </c>
      <c r="N81" s="12">
        <f>Tabell2[[#This Row],[Salgspris]]*Tabell2[[#This Row],[Totalt antall]]</f>
        <v>32736</v>
      </c>
      <c r="O81" s="5">
        <v>36</v>
      </c>
      <c r="P81" s="5">
        <v>12</v>
      </c>
      <c r="Q81" s="5">
        <v>6</v>
      </c>
      <c r="R81" s="5">
        <v>12</v>
      </c>
      <c r="S81" s="5">
        <v>12</v>
      </c>
      <c r="T81" s="5">
        <v>6</v>
      </c>
      <c r="U81" s="5">
        <v>6</v>
      </c>
      <c r="V81" s="5">
        <v>6</v>
      </c>
      <c r="W81" s="9"/>
      <c r="X81" s="10"/>
    </row>
    <row r="82" spans="2:24" ht="47.45" customHeight="1">
      <c r="B82" s="13">
        <v>11547801</v>
      </c>
      <c r="C82" s="13" t="s">
        <v>269</v>
      </c>
      <c r="D82" s="13" t="s">
        <v>276</v>
      </c>
      <c r="E82" s="13">
        <v>2018</v>
      </c>
      <c r="F82" s="13" t="s">
        <v>87</v>
      </c>
      <c r="G82" s="13" t="s">
        <v>138</v>
      </c>
      <c r="H82" s="13" t="s">
        <v>271</v>
      </c>
      <c r="I82" s="13" t="s">
        <v>272</v>
      </c>
      <c r="J82" s="5" t="s">
        <v>51</v>
      </c>
      <c r="K82" s="17">
        <v>0.75</v>
      </c>
      <c r="L82" s="17" t="s">
        <v>277</v>
      </c>
      <c r="M82" s="12">
        <v>60</v>
      </c>
      <c r="N82" s="12">
        <f>Tabell2[[#This Row],[Salgspris]]*Tabell2[[#This Row],[Totalt antall]]</f>
        <v>24966</v>
      </c>
      <c r="O82" s="5">
        <v>24</v>
      </c>
      <c r="P82" s="5">
        <v>6</v>
      </c>
      <c r="Q82" s="5">
        <v>6</v>
      </c>
      <c r="R82" s="5">
        <v>6</v>
      </c>
      <c r="S82" s="5">
        <v>6</v>
      </c>
      <c r="T82" s="5">
        <v>6</v>
      </c>
      <c r="U82" s="5">
        <v>6</v>
      </c>
      <c r="V82" s="5"/>
      <c r="W82" s="9"/>
      <c r="X82" s="10"/>
    </row>
    <row r="83" spans="2:24" ht="47.45" customHeight="1">
      <c r="B83" s="13">
        <v>11779301</v>
      </c>
      <c r="C83" s="13" t="s">
        <v>278</v>
      </c>
      <c r="D83" s="13" t="s">
        <v>279</v>
      </c>
      <c r="E83" s="13">
        <v>2018</v>
      </c>
      <c r="F83" s="13" t="s">
        <v>87</v>
      </c>
      <c r="G83" s="13" t="s">
        <v>138</v>
      </c>
      <c r="H83" s="13" t="s">
        <v>280</v>
      </c>
      <c r="I83" s="13" t="s">
        <v>281</v>
      </c>
      <c r="J83" s="5" t="s">
        <v>51</v>
      </c>
      <c r="K83" s="17">
        <v>0.75</v>
      </c>
      <c r="L83" s="17" t="s">
        <v>282</v>
      </c>
      <c r="M83" s="12">
        <v>120</v>
      </c>
      <c r="N83" s="12">
        <f>Tabell2[[#This Row],[Salgspris]]*Tabell2[[#This Row],[Totalt antall]]</f>
        <v>56412</v>
      </c>
      <c r="O83" s="5">
        <v>36</v>
      </c>
      <c r="P83" s="5">
        <v>12</v>
      </c>
      <c r="Q83" s="5">
        <v>12</v>
      </c>
      <c r="R83" s="5">
        <v>12</v>
      </c>
      <c r="S83" s="5">
        <v>12</v>
      </c>
      <c r="T83" s="5">
        <v>12</v>
      </c>
      <c r="U83" s="5">
        <v>12</v>
      </c>
      <c r="V83" s="5">
        <v>12</v>
      </c>
      <c r="W83" s="9"/>
      <c r="X83" s="10"/>
    </row>
    <row r="84" spans="2:24" ht="47.45" customHeight="1">
      <c r="B84" s="13">
        <v>11778801</v>
      </c>
      <c r="C84" s="13" t="s">
        <v>278</v>
      </c>
      <c r="D84" s="13" t="s">
        <v>283</v>
      </c>
      <c r="E84" s="13">
        <v>2018</v>
      </c>
      <c r="F84" s="13" t="s">
        <v>87</v>
      </c>
      <c r="G84" s="13" t="s">
        <v>138</v>
      </c>
      <c r="H84" s="13" t="s">
        <v>143</v>
      </c>
      <c r="I84" s="13" t="s">
        <v>284</v>
      </c>
      <c r="J84" s="5" t="s">
        <v>51</v>
      </c>
      <c r="K84" s="17">
        <v>0.75</v>
      </c>
      <c r="L84" s="17" t="s">
        <v>285</v>
      </c>
      <c r="M84" s="12">
        <v>60</v>
      </c>
      <c r="N84" s="12">
        <f>Tabell2[[#This Row],[Salgspris]]*Tabell2[[#This Row],[Totalt antall]]</f>
        <v>33066</v>
      </c>
      <c r="O84" s="5">
        <v>18</v>
      </c>
      <c r="P84" s="5">
        <v>6</v>
      </c>
      <c r="Q84" s="5">
        <v>6</v>
      </c>
      <c r="R84" s="5">
        <v>6</v>
      </c>
      <c r="S84" s="5">
        <v>6</v>
      </c>
      <c r="T84" s="5">
        <v>6</v>
      </c>
      <c r="U84" s="5">
        <v>6</v>
      </c>
      <c r="V84" s="5">
        <v>6</v>
      </c>
      <c r="W84" s="9"/>
      <c r="X84" s="10"/>
    </row>
    <row r="85" spans="2:24" ht="47.45" customHeight="1">
      <c r="B85" s="13">
        <v>11802002</v>
      </c>
      <c r="C85" s="13" t="s">
        <v>278</v>
      </c>
      <c r="D85" s="13" t="s">
        <v>286</v>
      </c>
      <c r="E85" s="13">
        <v>2018</v>
      </c>
      <c r="F85" s="13" t="s">
        <v>87</v>
      </c>
      <c r="G85" s="13" t="s">
        <v>138</v>
      </c>
      <c r="H85" s="13" t="s">
        <v>143</v>
      </c>
      <c r="I85" s="13" t="s">
        <v>284</v>
      </c>
      <c r="J85" s="5" t="s">
        <v>51</v>
      </c>
      <c r="K85" s="17">
        <v>0.375</v>
      </c>
      <c r="L85" s="17" t="s">
        <v>287</v>
      </c>
      <c r="M85" s="12">
        <v>48</v>
      </c>
      <c r="N85" s="12">
        <f>Tabell2[[#This Row],[Salgspris]]*Tabell2[[#This Row],[Totalt antall]]</f>
        <v>26966.399999999998</v>
      </c>
      <c r="O85" s="5">
        <v>24</v>
      </c>
      <c r="P85" s="5">
        <v>6</v>
      </c>
      <c r="Q85" s="5"/>
      <c r="R85" s="5">
        <v>6</v>
      </c>
      <c r="S85" s="5">
        <v>6</v>
      </c>
      <c r="T85" s="5"/>
      <c r="U85" s="5">
        <v>6</v>
      </c>
      <c r="V85" s="5"/>
      <c r="W85" s="9"/>
      <c r="X85" s="10"/>
    </row>
    <row r="86" spans="2:24" ht="47.45" customHeight="1">
      <c r="B86" s="13">
        <v>11779101</v>
      </c>
      <c r="C86" s="13" t="s">
        <v>278</v>
      </c>
      <c r="D86" s="13" t="s">
        <v>288</v>
      </c>
      <c r="E86" s="13">
        <v>2018</v>
      </c>
      <c r="F86" s="13" t="s">
        <v>87</v>
      </c>
      <c r="G86" s="13" t="s">
        <v>138</v>
      </c>
      <c r="H86" s="13" t="s">
        <v>143</v>
      </c>
      <c r="I86" s="13" t="s">
        <v>284</v>
      </c>
      <c r="J86" s="5" t="s">
        <v>51</v>
      </c>
      <c r="K86" s="17">
        <v>0.75</v>
      </c>
      <c r="L86" s="17" t="s">
        <v>289</v>
      </c>
      <c r="M86" s="12">
        <v>60</v>
      </c>
      <c r="N86" s="12">
        <f>Tabell2[[#This Row],[Salgspris]]*Tabell2[[#This Row],[Totalt antall]]</f>
        <v>27606</v>
      </c>
      <c r="O86" s="5">
        <v>18</v>
      </c>
      <c r="P86" s="5">
        <v>6</v>
      </c>
      <c r="Q86" s="5">
        <v>6</v>
      </c>
      <c r="R86" s="5">
        <v>6</v>
      </c>
      <c r="S86" s="5">
        <v>6</v>
      </c>
      <c r="T86" s="5">
        <v>6</v>
      </c>
      <c r="U86" s="5">
        <v>6</v>
      </c>
      <c r="V86" s="5">
        <v>6</v>
      </c>
      <c r="W86" s="9"/>
      <c r="X86" s="10"/>
    </row>
    <row r="87" spans="2:24" ht="47.45" customHeight="1">
      <c r="B87" s="13">
        <v>11779001</v>
      </c>
      <c r="C87" s="13" t="s">
        <v>278</v>
      </c>
      <c r="D87" s="13" t="s">
        <v>290</v>
      </c>
      <c r="E87" s="13">
        <v>2018</v>
      </c>
      <c r="F87" s="13" t="s">
        <v>87</v>
      </c>
      <c r="G87" s="13" t="s">
        <v>138</v>
      </c>
      <c r="H87" s="13" t="s">
        <v>143</v>
      </c>
      <c r="I87" s="13" t="s">
        <v>284</v>
      </c>
      <c r="J87" s="5" t="s">
        <v>51</v>
      </c>
      <c r="K87" s="17">
        <v>0.75</v>
      </c>
      <c r="L87" s="17" t="s">
        <v>291</v>
      </c>
      <c r="M87" s="12">
        <v>120</v>
      </c>
      <c r="N87" s="12">
        <f>Tabell2[[#This Row],[Salgspris]]*Tabell2[[#This Row],[Totalt antall]]</f>
        <v>57612</v>
      </c>
      <c r="O87" s="5">
        <v>36</v>
      </c>
      <c r="P87" s="5">
        <v>12</v>
      </c>
      <c r="Q87" s="5">
        <v>12</v>
      </c>
      <c r="R87" s="5">
        <v>12</v>
      </c>
      <c r="S87" s="5">
        <v>12</v>
      </c>
      <c r="T87" s="5">
        <v>12</v>
      </c>
      <c r="U87" s="5">
        <v>12</v>
      </c>
      <c r="V87" s="5">
        <v>12</v>
      </c>
      <c r="W87" s="9"/>
      <c r="X87" s="10"/>
    </row>
    <row r="88" spans="2:24" ht="47.45" customHeight="1">
      <c r="B88" s="13">
        <v>11781801</v>
      </c>
      <c r="C88" s="13" t="s">
        <v>292</v>
      </c>
      <c r="D88" s="13" t="s">
        <v>293</v>
      </c>
      <c r="E88" s="13">
        <v>2018</v>
      </c>
      <c r="F88" s="13" t="s">
        <v>87</v>
      </c>
      <c r="G88" s="13" t="s">
        <v>138</v>
      </c>
      <c r="H88" s="13" t="s">
        <v>294</v>
      </c>
      <c r="I88" s="13" t="s">
        <v>295</v>
      </c>
      <c r="J88" s="5" t="s">
        <v>60</v>
      </c>
      <c r="K88" s="17">
        <v>0.75</v>
      </c>
      <c r="L88" s="17" t="s">
        <v>296</v>
      </c>
      <c r="M88" s="12">
        <v>120</v>
      </c>
      <c r="N88" s="12">
        <f>Tabell2[[#This Row],[Salgspris]]*Tabell2[[#This Row],[Totalt antall]]</f>
        <v>37068</v>
      </c>
      <c r="O88" s="5">
        <v>36</v>
      </c>
      <c r="P88" s="5">
        <v>12</v>
      </c>
      <c r="Q88" s="5">
        <v>12</v>
      </c>
      <c r="R88" s="5">
        <v>12</v>
      </c>
      <c r="S88" s="5">
        <v>12</v>
      </c>
      <c r="T88" s="5">
        <v>12</v>
      </c>
      <c r="U88" s="5">
        <v>12</v>
      </c>
      <c r="V88" s="5">
        <v>12</v>
      </c>
      <c r="W88" s="9"/>
      <c r="X88" s="10"/>
    </row>
    <row r="89" spans="2:24" ht="47.45" customHeight="1">
      <c r="B89" s="13">
        <v>11781701</v>
      </c>
      <c r="C89" s="13" t="s">
        <v>292</v>
      </c>
      <c r="D89" s="13" t="s">
        <v>297</v>
      </c>
      <c r="E89" s="13">
        <v>2018</v>
      </c>
      <c r="F89" s="13" t="s">
        <v>87</v>
      </c>
      <c r="G89" s="13" t="s">
        <v>138</v>
      </c>
      <c r="H89" s="13" t="s">
        <v>294</v>
      </c>
      <c r="I89" s="13" t="s">
        <v>295</v>
      </c>
      <c r="J89" s="5" t="s">
        <v>60</v>
      </c>
      <c r="K89" s="17">
        <v>0.75</v>
      </c>
      <c r="L89" s="17" t="s">
        <v>298</v>
      </c>
      <c r="M89" s="12">
        <v>60</v>
      </c>
      <c r="N89" s="12">
        <f>Tabell2[[#This Row],[Salgspris]]*Tabell2[[#This Row],[Totalt antall]]</f>
        <v>20640</v>
      </c>
      <c r="O89" s="5">
        <v>24</v>
      </c>
      <c r="P89" s="5">
        <v>6</v>
      </c>
      <c r="Q89" s="5">
        <v>6</v>
      </c>
      <c r="R89" s="5">
        <v>6</v>
      </c>
      <c r="S89" s="5">
        <v>6</v>
      </c>
      <c r="T89" s="5">
        <v>6</v>
      </c>
      <c r="U89" s="5">
        <v>6</v>
      </c>
      <c r="V89" s="5"/>
      <c r="W89" s="9"/>
      <c r="X89" s="10"/>
    </row>
    <row r="90" spans="2:24" ht="47.45" customHeight="1">
      <c r="B90" s="13">
        <v>11781601</v>
      </c>
      <c r="C90" s="13" t="s">
        <v>292</v>
      </c>
      <c r="D90" s="13" t="s">
        <v>299</v>
      </c>
      <c r="E90" s="13">
        <v>2018</v>
      </c>
      <c r="F90" s="13" t="s">
        <v>87</v>
      </c>
      <c r="G90" s="13" t="s">
        <v>138</v>
      </c>
      <c r="H90" s="13" t="s">
        <v>300</v>
      </c>
      <c r="I90" s="13" t="s">
        <v>301</v>
      </c>
      <c r="J90" s="5" t="s">
        <v>60</v>
      </c>
      <c r="K90" s="17">
        <v>0.75</v>
      </c>
      <c r="L90" s="17" t="s">
        <v>302</v>
      </c>
      <c r="M90" s="12">
        <v>60</v>
      </c>
      <c r="N90" s="12">
        <f>Tabell2[[#This Row],[Salgspris]]*Tabell2[[#This Row],[Totalt antall]]</f>
        <v>18234</v>
      </c>
      <c r="O90" s="5">
        <v>24</v>
      </c>
      <c r="P90" s="5">
        <v>6</v>
      </c>
      <c r="Q90" s="5">
        <v>6</v>
      </c>
      <c r="R90" s="5">
        <v>6</v>
      </c>
      <c r="S90" s="5">
        <v>6</v>
      </c>
      <c r="T90" s="5">
        <v>6</v>
      </c>
      <c r="U90" s="5">
        <v>6</v>
      </c>
      <c r="V90" s="5"/>
      <c r="W90" s="9"/>
      <c r="X90" s="10"/>
    </row>
    <row r="91" spans="2:24" ht="47.45" customHeight="1">
      <c r="B91" s="13">
        <v>11781501</v>
      </c>
      <c r="C91" s="13" t="s">
        <v>292</v>
      </c>
      <c r="D91" s="13" t="s">
        <v>303</v>
      </c>
      <c r="E91" s="13">
        <v>2018</v>
      </c>
      <c r="F91" s="13" t="s">
        <v>87</v>
      </c>
      <c r="G91" s="13" t="s">
        <v>138</v>
      </c>
      <c r="H91" s="13" t="s">
        <v>300</v>
      </c>
      <c r="I91" s="13" t="s">
        <v>301</v>
      </c>
      <c r="J91" s="5" t="s">
        <v>60</v>
      </c>
      <c r="K91" s="17">
        <v>0.75</v>
      </c>
      <c r="L91" s="17" t="s">
        <v>304</v>
      </c>
      <c r="M91" s="12">
        <v>60</v>
      </c>
      <c r="N91" s="12">
        <f>Tabell2[[#This Row],[Salgspris]]*Tabell2[[#This Row],[Totalt antall]]</f>
        <v>18840</v>
      </c>
      <c r="O91" s="5">
        <v>24</v>
      </c>
      <c r="P91" s="5">
        <v>6</v>
      </c>
      <c r="Q91" s="5">
        <v>6</v>
      </c>
      <c r="R91" s="5">
        <v>6</v>
      </c>
      <c r="S91" s="5">
        <v>6</v>
      </c>
      <c r="T91" s="5">
        <v>6</v>
      </c>
      <c r="U91" s="5">
        <v>6</v>
      </c>
      <c r="V91" s="5"/>
      <c r="W91" s="9"/>
      <c r="X91" s="10"/>
    </row>
    <row r="92" spans="2:24" ht="47.45" customHeight="1">
      <c r="B92" s="13">
        <v>11781901</v>
      </c>
      <c r="C92" s="13" t="s">
        <v>292</v>
      </c>
      <c r="D92" s="13" t="s">
        <v>305</v>
      </c>
      <c r="E92" s="13">
        <v>2018</v>
      </c>
      <c r="F92" s="13" t="s">
        <v>87</v>
      </c>
      <c r="G92" s="13" t="s">
        <v>138</v>
      </c>
      <c r="H92" s="13" t="s">
        <v>300</v>
      </c>
      <c r="I92" s="13" t="s">
        <v>301</v>
      </c>
      <c r="J92" s="5" t="s">
        <v>60</v>
      </c>
      <c r="K92" s="17">
        <v>0.75</v>
      </c>
      <c r="L92" s="17" t="s">
        <v>304</v>
      </c>
      <c r="M92" s="12">
        <v>180</v>
      </c>
      <c r="N92" s="12">
        <f>Tabell2[[#This Row],[Salgspris]]*Tabell2[[#This Row],[Totalt antall]]</f>
        <v>56520</v>
      </c>
      <c r="O92" s="5">
        <v>84</v>
      </c>
      <c r="P92" s="5">
        <v>12</v>
      </c>
      <c r="Q92" s="5">
        <v>12</v>
      </c>
      <c r="R92" s="5">
        <v>12</v>
      </c>
      <c r="S92" s="5">
        <v>24</v>
      </c>
      <c r="T92" s="5">
        <v>12</v>
      </c>
      <c r="U92" s="5">
        <v>12</v>
      </c>
      <c r="V92" s="5">
        <v>12</v>
      </c>
      <c r="W92" s="9"/>
      <c r="X92" s="10"/>
    </row>
    <row r="93" spans="2:24" ht="47.45" customHeight="1">
      <c r="B93" s="13">
        <v>11781101</v>
      </c>
      <c r="C93" s="13" t="s">
        <v>306</v>
      </c>
      <c r="D93" s="13" t="s">
        <v>307</v>
      </c>
      <c r="E93" s="13">
        <v>2018</v>
      </c>
      <c r="F93" s="13" t="s">
        <v>87</v>
      </c>
      <c r="G93" s="13" t="s">
        <v>138</v>
      </c>
      <c r="H93" s="13" t="s">
        <v>280</v>
      </c>
      <c r="I93" s="13" t="s">
        <v>308</v>
      </c>
      <c r="J93" s="5" t="s">
        <v>60</v>
      </c>
      <c r="K93" s="17">
        <v>0.75</v>
      </c>
      <c r="L93" s="17" t="s">
        <v>309</v>
      </c>
      <c r="M93" s="12">
        <v>36</v>
      </c>
      <c r="N93" s="12">
        <f>Tabell2[[#This Row],[Salgspris]]*Tabell2[[#This Row],[Totalt antall]]</f>
        <v>16873.2</v>
      </c>
      <c r="O93" s="5">
        <v>12</v>
      </c>
      <c r="P93" s="5">
        <v>3</v>
      </c>
      <c r="Q93" s="5">
        <v>3</v>
      </c>
      <c r="R93" s="5">
        <v>3</v>
      </c>
      <c r="S93" s="5">
        <v>6</v>
      </c>
      <c r="T93" s="5">
        <v>3</v>
      </c>
      <c r="U93" s="5">
        <v>3</v>
      </c>
      <c r="V93" s="5">
        <v>3</v>
      </c>
      <c r="W93" s="9"/>
      <c r="X93" s="10"/>
    </row>
    <row r="94" spans="2:24" ht="47.45" customHeight="1">
      <c r="B94" s="13">
        <v>11781001</v>
      </c>
      <c r="C94" s="13" t="s">
        <v>306</v>
      </c>
      <c r="D94" s="13" t="s">
        <v>310</v>
      </c>
      <c r="E94" s="13">
        <v>2018</v>
      </c>
      <c r="F94" s="13" t="s">
        <v>87</v>
      </c>
      <c r="G94" s="13" t="s">
        <v>138</v>
      </c>
      <c r="H94" s="13" t="s">
        <v>311</v>
      </c>
      <c r="I94" s="13" t="s">
        <v>312</v>
      </c>
      <c r="J94" s="5" t="s">
        <v>60</v>
      </c>
      <c r="K94" s="17">
        <v>0.75</v>
      </c>
      <c r="L94" s="17" t="s">
        <v>309</v>
      </c>
      <c r="M94" s="12">
        <v>36</v>
      </c>
      <c r="N94" s="12">
        <f>Tabell2[[#This Row],[Salgspris]]*Tabell2[[#This Row],[Totalt antall]]</f>
        <v>16873.2</v>
      </c>
      <c r="O94" s="5">
        <v>12</v>
      </c>
      <c r="P94" s="5">
        <v>6</v>
      </c>
      <c r="Q94" s="5">
        <v>3</v>
      </c>
      <c r="R94" s="5">
        <v>3</v>
      </c>
      <c r="S94" s="5">
        <v>3</v>
      </c>
      <c r="T94" s="5">
        <v>3</v>
      </c>
      <c r="U94" s="5">
        <v>3</v>
      </c>
      <c r="V94" s="5">
        <v>3</v>
      </c>
      <c r="W94" s="9"/>
      <c r="X94" s="10"/>
    </row>
    <row r="95" spans="2:24" ht="47.45" customHeight="1">
      <c r="B95" s="13">
        <v>11781301</v>
      </c>
      <c r="C95" s="13" t="s">
        <v>306</v>
      </c>
      <c r="D95" s="13" t="s">
        <v>313</v>
      </c>
      <c r="E95" s="13">
        <v>2018</v>
      </c>
      <c r="F95" s="13" t="s">
        <v>87</v>
      </c>
      <c r="G95" s="13" t="s">
        <v>138</v>
      </c>
      <c r="H95" s="13" t="s">
        <v>280</v>
      </c>
      <c r="I95" s="13" t="s">
        <v>281</v>
      </c>
      <c r="J95" s="5" t="s">
        <v>60</v>
      </c>
      <c r="K95" s="17">
        <v>0.75</v>
      </c>
      <c r="L95" s="17" t="s">
        <v>314</v>
      </c>
      <c r="M95" s="12">
        <v>60</v>
      </c>
      <c r="N95" s="12">
        <f>Tabell2[[#This Row],[Salgspris]]*Tabell2[[#This Row],[Totalt antall]]</f>
        <v>28134</v>
      </c>
      <c r="O95" s="5">
        <v>24</v>
      </c>
      <c r="P95" s="5">
        <v>6</v>
      </c>
      <c r="Q95" s="5">
        <v>6</v>
      </c>
      <c r="R95" s="5">
        <v>6</v>
      </c>
      <c r="S95" s="5">
        <v>6</v>
      </c>
      <c r="T95" s="5">
        <v>6</v>
      </c>
      <c r="U95" s="5">
        <v>6</v>
      </c>
      <c r="V95" s="5"/>
      <c r="W95" s="21"/>
      <c r="X95" s="10"/>
    </row>
    <row r="96" spans="2:24" ht="47.45" customHeight="1">
      <c r="B96" s="13">
        <v>11781401</v>
      </c>
      <c r="C96" s="13" t="s">
        <v>306</v>
      </c>
      <c r="D96" s="13" t="s">
        <v>315</v>
      </c>
      <c r="E96" s="13">
        <v>2018</v>
      </c>
      <c r="F96" s="13" t="s">
        <v>87</v>
      </c>
      <c r="G96" s="13" t="s">
        <v>138</v>
      </c>
      <c r="H96" s="13" t="s">
        <v>280</v>
      </c>
      <c r="J96" s="5" t="s">
        <v>60</v>
      </c>
      <c r="K96" s="17">
        <v>0.75</v>
      </c>
      <c r="L96" s="17" t="s">
        <v>316</v>
      </c>
      <c r="M96" s="12">
        <v>180</v>
      </c>
      <c r="N96" s="12">
        <f>Tabell2[[#This Row],[Salgspris]]*Tabell2[[#This Row],[Totalt antall]]</f>
        <v>56501.999999999993</v>
      </c>
      <c r="O96" s="5">
        <v>48</v>
      </c>
      <c r="P96" s="5">
        <v>24</v>
      </c>
      <c r="Q96" s="5">
        <v>18</v>
      </c>
      <c r="R96" s="5">
        <v>24</v>
      </c>
      <c r="S96" s="5">
        <v>24</v>
      </c>
      <c r="T96" s="5">
        <v>18</v>
      </c>
      <c r="U96" s="5">
        <v>18</v>
      </c>
      <c r="V96" s="5">
        <v>6</v>
      </c>
      <c r="W96" s="21"/>
      <c r="X96" s="10"/>
    </row>
    <row r="97" spans="1:151" ht="47.45" customHeight="1">
      <c r="B97" s="13">
        <v>11781201</v>
      </c>
      <c r="C97" s="13" t="s">
        <v>306</v>
      </c>
      <c r="D97" s="13" t="s">
        <v>317</v>
      </c>
      <c r="E97" s="13">
        <v>2018</v>
      </c>
      <c r="F97" s="13" t="s">
        <v>87</v>
      </c>
      <c r="G97" s="13" t="s">
        <v>138</v>
      </c>
      <c r="H97" s="13" t="s">
        <v>280</v>
      </c>
      <c r="I97" s="13" t="s">
        <v>281</v>
      </c>
      <c r="J97" s="5" t="s">
        <v>60</v>
      </c>
      <c r="K97" s="17">
        <v>0.75</v>
      </c>
      <c r="L97" s="17" t="s">
        <v>318</v>
      </c>
      <c r="M97" s="12">
        <v>120</v>
      </c>
      <c r="N97" s="12">
        <f>Tabell2[[#This Row],[Salgspris]]*Tabell2[[#This Row],[Totalt antall]]</f>
        <v>38868</v>
      </c>
      <c r="O97" s="5">
        <v>36</v>
      </c>
      <c r="P97" s="5">
        <v>12</v>
      </c>
      <c r="Q97" s="5">
        <v>12</v>
      </c>
      <c r="R97" s="5">
        <v>12</v>
      </c>
      <c r="S97" s="5">
        <v>12</v>
      </c>
      <c r="T97" s="5">
        <v>12</v>
      </c>
      <c r="U97" s="5">
        <v>12</v>
      </c>
      <c r="V97" s="5">
        <v>12</v>
      </c>
      <c r="W97" s="9"/>
      <c r="X97" s="10"/>
    </row>
    <row r="98" spans="1:151" ht="47.45" customHeight="1">
      <c r="B98" s="13">
        <v>11789701</v>
      </c>
      <c r="C98" s="13" t="s">
        <v>319</v>
      </c>
      <c r="D98" s="13" t="s">
        <v>320</v>
      </c>
      <c r="E98" s="13">
        <v>2018</v>
      </c>
      <c r="F98" s="13" t="s">
        <v>87</v>
      </c>
      <c r="G98" s="13" t="s">
        <v>321</v>
      </c>
      <c r="H98" s="13" t="s">
        <v>322</v>
      </c>
      <c r="I98" s="13" t="s">
        <v>323</v>
      </c>
      <c r="J98" s="5" t="s">
        <v>51</v>
      </c>
      <c r="K98" s="17">
        <v>0.75</v>
      </c>
      <c r="L98" s="17" t="s">
        <v>324</v>
      </c>
      <c r="M98" s="12">
        <v>120</v>
      </c>
      <c r="N98" s="12">
        <f>Tabell2[[#This Row],[Salgspris]]*Tabell2[[#This Row],[Totalt antall]]</f>
        <v>38220</v>
      </c>
      <c r="O98" s="5">
        <v>36</v>
      </c>
      <c r="P98" s="5">
        <v>12</v>
      </c>
      <c r="Q98" s="5">
        <v>12</v>
      </c>
      <c r="R98" s="5">
        <v>18</v>
      </c>
      <c r="S98" s="5">
        <v>18</v>
      </c>
      <c r="T98" s="5">
        <v>12</v>
      </c>
      <c r="U98" s="5">
        <v>12</v>
      </c>
      <c r="V98" s="5"/>
      <c r="W98" s="9"/>
      <c r="X98" s="10"/>
    </row>
    <row r="99" spans="1:151" ht="47.45" customHeight="1">
      <c r="B99" s="13">
        <v>11789801</v>
      </c>
      <c r="C99" s="13" t="s">
        <v>319</v>
      </c>
      <c r="D99" s="13" t="s">
        <v>325</v>
      </c>
      <c r="E99" s="13">
        <v>2018</v>
      </c>
      <c r="F99" s="13" t="s">
        <v>87</v>
      </c>
      <c r="G99" s="13" t="s">
        <v>321</v>
      </c>
      <c r="H99" s="13" t="s">
        <v>326</v>
      </c>
      <c r="I99" s="13" t="s">
        <v>327</v>
      </c>
      <c r="J99" s="5" t="s">
        <v>51</v>
      </c>
      <c r="K99" s="17">
        <v>0.75</v>
      </c>
      <c r="L99" s="17" t="s">
        <v>328</v>
      </c>
      <c r="M99" s="12">
        <v>84</v>
      </c>
      <c r="N99" s="12">
        <f>Tabell2[[#This Row],[Salgspris]]*Tabell2[[#This Row],[Totalt antall]]</f>
        <v>40992</v>
      </c>
      <c r="O99" s="5">
        <v>30</v>
      </c>
      <c r="P99" s="5">
        <v>12</v>
      </c>
      <c r="Q99" s="5">
        <v>6</v>
      </c>
      <c r="R99" s="5">
        <v>12</v>
      </c>
      <c r="S99" s="5">
        <v>12</v>
      </c>
      <c r="T99" s="5">
        <v>6</v>
      </c>
      <c r="U99" s="5">
        <v>6</v>
      </c>
      <c r="V99" s="5"/>
      <c r="W99" s="9"/>
      <c r="X99" s="10"/>
    </row>
    <row r="100" spans="1:151" ht="47.45" customHeight="1">
      <c r="B100" s="13">
        <v>11789601</v>
      </c>
      <c r="C100" s="13" t="s">
        <v>319</v>
      </c>
      <c r="D100" s="13" t="s">
        <v>329</v>
      </c>
      <c r="E100" s="13">
        <v>2018</v>
      </c>
      <c r="F100" s="13" t="s">
        <v>87</v>
      </c>
      <c r="G100" s="13" t="s">
        <v>321</v>
      </c>
      <c r="H100" s="13" t="s">
        <v>326</v>
      </c>
      <c r="I100" s="13" t="s">
        <v>327</v>
      </c>
      <c r="J100" s="5" t="s">
        <v>51</v>
      </c>
      <c r="K100" s="17">
        <v>0.75</v>
      </c>
      <c r="L100" s="17" t="s">
        <v>330</v>
      </c>
      <c r="M100" s="12">
        <v>120</v>
      </c>
      <c r="N100" s="12">
        <f>Tabell2[[#This Row],[Salgspris]]*Tabell2[[#This Row],[Totalt antall]]</f>
        <v>38184</v>
      </c>
      <c r="O100" s="5">
        <v>36</v>
      </c>
      <c r="P100" s="5">
        <v>18</v>
      </c>
      <c r="Q100" s="5">
        <v>12</v>
      </c>
      <c r="R100" s="5">
        <v>12</v>
      </c>
      <c r="S100" s="5">
        <v>18</v>
      </c>
      <c r="T100" s="5">
        <v>12</v>
      </c>
      <c r="U100" s="5">
        <v>12</v>
      </c>
      <c r="V100" s="5"/>
      <c r="W100" s="21"/>
      <c r="X100" s="10"/>
    </row>
    <row r="101" spans="1:151" ht="47.45" customHeight="1">
      <c r="B101" s="13">
        <v>11786501</v>
      </c>
      <c r="C101" s="13" t="s">
        <v>331</v>
      </c>
      <c r="D101" s="13" t="s">
        <v>332</v>
      </c>
      <c r="E101" s="13">
        <v>2018</v>
      </c>
      <c r="F101" s="13" t="s">
        <v>87</v>
      </c>
      <c r="G101" s="13" t="s">
        <v>321</v>
      </c>
      <c r="H101" s="13" t="s">
        <v>333</v>
      </c>
      <c r="I101" s="13" t="s">
        <v>334</v>
      </c>
      <c r="J101" s="5" t="s">
        <v>51</v>
      </c>
      <c r="K101" s="17">
        <v>0.75</v>
      </c>
      <c r="L101" s="17" t="s">
        <v>335</v>
      </c>
      <c r="M101" s="12">
        <v>120</v>
      </c>
      <c r="N101" s="12">
        <f>Tabell2[[#This Row],[Salgspris]]*Tabell2[[#This Row],[Totalt antall]]</f>
        <v>35988</v>
      </c>
      <c r="O101" s="5">
        <v>36</v>
      </c>
      <c r="P101" s="5">
        <v>12</v>
      </c>
      <c r="Q101" s="5">
        <v>12</v>
      </c>
      <c r="R101" s="5">
        <v>12</v>
      </c>
      <c r="S101" s="5">
        <v>18</v>
      </c>
      <c r="T101" s="5">
        <v>12</v>
      </c>
      <c r="U101" s="5">
        <v>12</v>
      </c>
      <c r="V101" s="5">
        <v>6</v>
      </c>
      <c r="W101" s="9"/>
      <c r="X101" s="10"/>
    </row>
    <row r="102" spans="1:151" ht="47.45" customHeight="1">
      <c r="B102" s="13">
        <v>11785902</v>
      </c>
      <c r="C102" s="13" t="s">
        <v>331</v>
      </c>
      <c r="D102" s="13" t="s">
        <v>336</v>
      </c>
      <c r="E102" s="13">
        <v>2018</v>
      </c>
      <c r="F102" s="13" t="s">
        <v>87</v>
      </c>
      <c r="G102" s="13" t="s">
        <v>321</v>
      </c>
      <c r="H102" s="13" t="s">
        <v>337</v>
      </c>
      <c r="I102" s="13" t="s">
        <v>338</v>
      </c>
      <c r="J102" s="5" t="s">
        <v>51</v>
      </c>
      <c r="K102" s="17">
        <v>0.375</v>
      </c>
      <c r="L102" s="17" t="s">
        <v>339</v>
      </c>
      <c r="M102" s="12">
        <v>12</v>
      </c>
      <c r="N102" s="12">
        <f>Tabell2[[#This Row],[Salgspris]]*Tabell2[[#This Row],[Totalt antall]]</f>
        <v>3718.7999999999997</v>
      </c>
      <c r="O102" s="5">
        <v>6</v>
      </c>
      <c r="P102" s="5">
        <v>2</v>
      </c>
      <c r="Q102" s="5"/>
      <c r="R102" s="5">
        <v>2</v>
      </c>
      <c r="S102" s="5">
        <v>2</v>
      </c>
      <c r="T102" s="5"/>
      <c r="U102" s="5"/>
      <c r="V102" s="5"/>
      <c r="W102" s="9"/>
      <c r="X102" s="10" t="s">
        <v>162</v>
      </c>
    </row>
    <row r="103" spans="1:151" ht="47.45" customHeight="1">
      <c r="B103" s="13">
        <v>11786001</v>
      </c>
      <c r="C103" s="13" t="s">
        <v>331</v>
      </c>
      <c r="D103" s="13" t="s">
        <v>340</v>
      </c>
      <c r="E103" s="13">
        <v>2018</v>
      </c>
      <c r="F103" s="13" t="s">
        <v>87</v>
      </c>
      <c r="G103" s="13" t="s">
        <v>321</v>
      </c>
      <c r="H103" s="13" t="s">
        <v>337</v>
      </c>
      <c r="I103" s="13" t="s">
        <v>338</v>
      </c>
      <c r="J103" s="5" t="s">
        <v>51</v>
      </c>
      <c r="K103" s="17">
        <v>0.75</v>
      </c>
      <c r="L103" s="17" t="s">
        <v>341</v>
      </c>
      <c r="M103" s="12">
        <v>120</v>
      </c>
      <c r="N103" s="12">
        <f>Tabell2[[#This Row],[Salgspris]]*Tabell2[[#This Row],[Totalt antall]]</f>
        <v>66336</v>
      </c>
      <c r="O103" s="5">
        <v>36</v>
      </c>
      <c r="P103" s="5">
        <v>12</v>
      </c>
      <c r="Q103" s="5">
        <v>12</v>
      </c>
      <c r="R103" s="5">
        <v>12</v>
      </c>
      <c r="S103" s="5">
        <v>12</v>
      </c>
      <c r="T103" s="5">
        <v>12</v>
      </c>
      <c r="U103" s="5">
        <v>12</v>
      </c>
      <c r="V103" s="5">
        <v>12</v>
      </c>
      <c r="W103" s="9"/>
      <c r="X103" s="10" t="s">
        <v>162</v>
      </c>
    </row>
    <row r="104" spans="1:151" s="2" customFormat="1" ht="47.45" customHeight="1">
      <c r="A104" s="5"/>
      <c r="B104" s="13">
        <v>11786305</v>
      </c>
      <c r="C104" s="13" t="s">
        <v>331</v>
      </c>
      <c r="D104" s="13" t="s">
        <v>340</v>
      </c>
      <c r="E104" s="13">
        <v>2018</v>
      </c>
      <c r="F104" s="13" t="s">
        <v>87</v>
      </c>
      <c r="G104" s="13" t="s">
        <v>321</v>
      </c>
      <c r="H104" s="13" t="s">
        <v>337</v>
      </c>
      <c r="I104" s="13" t="s">
        <v>338</v>
      </c>
      <c r="J104" s="5" t="s">
        <v>51</v>
      </c>
      <c r="K104" s="17">
        <v>1.5</v>
      </c>
      <c r="L104" s="17" t="s">
        <v>342</v>
      </c>
      <c r="M104" s="12">
        <v>12</v>
      </c>
      <c r="N104" s="12">
        <f>Tabell2[[#This Row],[Salgspris]]*Tabell2[[#This Row],[Totalt antall]]</f>
        <v>14266.800000000001</v>
      </c>
      <c r="O104" s="5">
        <v>6</v>
      </c>
      <c r="P104" s="5">
        <v>2</v>
      </c>
      <c r="Q104" s="5"/>
      <c r="R104" s="5">
        <v>2</v>
      </c>
      <c r="S104" s="5">
        <v>2</v>
      </c>
      <c r="T104" s="5"/>
      <c r="U104" s="5"/>
      <c r="V104" s="5"/>
      <c r="W104" s="9"/>
      <c r="X104" s="10" t="s">
        <v>162</v>
      </c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</row>
    <row r="105" spans="1:151" ht="47.45" customHeight="1">
      <c r="B105" s="13">
        <v>11786207</v>
      </c>
      <c r="C105" s="13" t="s">
        <v>331</v>
      </c>
      <c r="D105" s="13" t="s">
        <v>340</v>
      </c>
      <c r="E105" s="13">
        <v>2018</v>
      </c>
      <c r="F105" s="13" t="s">
        <v>87</v>
      </c>
      <c r="G105" s="13" t="s">
        <v>321</v>
      </c>
      <c r="H105" s="13" t="s">
        <v>337</v>
      </c>
      <c r="I105" s="13" t="s">
        <v>338</v>
      </c>
      <c r="J105" s="5" t="s">
        <v>51</v>
      </c>
      <c r="K105" s="17">
        <v>3</v>
      </c>
      <c r="L105" s="17" t="s">
        <v>343</v>
      </c>
      <c r="M105" s="12">
        <v>3</v>
      </c>
      <c r="N105" s="12">
        <f>Tabell2[[#This Row],[Salgspris]]*Tabell2[[#This Row],[Totalt antall]]</f>
        <v>7796.7000000000007</v>
      </c>
      <c r="O105" s="5">
        <v>3</v>
      </c>
      <c r="P105" s="5"/>
      <c r="Q105" s="5"/>
      <c r="R105" s="5"/>
      <c r="S105" s="5"/>
      <c r="T105" s="5"/>
      <c r="U105" s="5"/>
      <c r="V105" s="5"/>
      <c r="W105" s="21"/>
      <c r="X105" s="10" t="s">
        <v>162</v>
      </c>
    </row>
    <row r="106" spans="1:151" ht="47.45" customHeight="1">
      <c r="B106" s="13">
        <v>11785601</v>
      </c>
      <c r="C106" s="13" t="s">
        <v>331</v>
      </c>
      <c r="D106" s="13" t="s">
        <v>344</v>
      </c>
      <c r="E106" s="13">
        <v>2018</v>
      </c>
      <c r="F106" s="13" t="s">
        <v>87</v>
      </c>
      <c r="G106" s="13" t="s">
        <v>321</v>
      </c>
      <c r="H106" s="13" t="s">
        <v>337</v>
      </c>
      <c r="I106" s="13" t="s">
        <v>338</v>
      </c>
      <c r="J106" s="5" t="s">
        <v>51</v>
      </c>
      <c r="K106" s="17">
        <v>0.75</v>
      </c>
      <c r="L106" s="17" t="s">
        <v>345</v>
      </c>
      <c r="M106" s="12">
        <v>60</v>
      </c>
      <c r="N106" s="12">
        <f>Tabell2[[#This Row],[Salgspris]]*Tabell2[[#This Row],[Totalt antall]]</f>
        <v>23910</v>
      </c>
      <c r="O106" s="5">
        <v>24</v>
      </c>
      <c r="P106" s="5">
        <v>6</v>
      </c>
      <c r="Q106" s="5">
        <v>6</v>
      </c>
      <c r="R106" s="5">
        <v>6</v>
      </c>
      <c r="S106" s="5">
        <v>6</v>
      </c>
      <c r="T106" s="5">
        <v>6</v>
      </c>
      <c r="U106" s="5">
        <v>6</v>
      </c>
      <c r="V106" s="5"/>
      <c r="W106" s="21"/>
      <c r="X106" s="10" t="s">
        <v>167</v>
      </c>
    </row>
    <row r="107" spans="1:151" ht="47.45" customHeight="1">
      <c r="B107" s="13">
        <v>11786101</v>
      </c>
      <c r="C107" s="13" t="s">
        <v>331</v>
      </c>
      <c r="D107" s="13" t="s">
        <v>346</v>
      </c>
      <c r="E107" s="13">
        <v>2018</v>
      </c>
      <c r="F107" s="13" t="s">
        <v>87</v>
      </c>
      <c r="G107" s="13" t="s">
        <v>321</v>
      </c>
      <c r="H107" s="13" t="s">
        <v>322</v>
      </c>
      <c r="I107" s="13" t="s">
        <v>347</v>
      </c>
      <c r="J107" s="5" t="s">
        <v>51</v>
      </c>
      <c r="K107" s="17">
        <v>0.75</v>
      </c>
      <c r="L107" s="17" t="s">
        <v>180</v>
      </c>
      <c r="M107" s="12">
        <v>180</v>
      </c>
      <c r="N107" s="12">
        <f>Tabell2[[#This Row],[Salgspris]]*Tabell2[[#This Row],[Totalt antall]]</f>
        <v>92682</v>
      </c>
      <c r="O107" s="5">
        <v>72</v>
      </c>
      <c r="P107" s="5">
        <v>18</v>
      </c>
      <c r="Q107" s="5">
        <v>12</v>
      </c>
      <c r="R107" s="5">
        <v>24</v>
      </c>
      <c r="S107" s="5">
        <v>24</v>
      </c>
      <c r="T107" s="5">
        <v>12</v>
      </c>
      <c r="U107" s="5">
        <v>12</v>
      </c>
      <c r="V107" s="5">
        <v>6</v>
      </c>
      <c r="W107" s="9"/>
      <c r="X107" s="10" t="s">
        <v>348</v>
      </c>
    </row>
    <row r="108" spans="1:151" ht="47.45" customHeight="1">
      <c r="B108" s="13">
        <v>11785805</v>
      </c>
      <c r="C108" s="13" t="s">
        <v>331</v>
      </c>
      <c r="D108" s="13" t="s">
        <v>346</v>
      </c>
      <c r="E108" s="13">
        <v>2018</v>
      </c>
      <c r="F108" s="13" t="s">
        <v>87</v>
      </c>
      <c r="G108" s="13" t="s">
        <v>321</v>
      </c>
      <c r="H108" s="13" t="s">
        <v>322</v>
      </c>
      <c r="I108" s="13" t="s">
        <v>347</v>
      </c>
      <c r="J108" s="5" t="s">
        <v>51</v>
      </c>
      <c r="K108" s="17">
        <v>1.5</v>
      </c>
      <c r="L108" s="17" t="s">
        <v>349</v>
      </c>
      <c r="M108" s="12">
        <v>24</v>
      </c>
      <c r="N108" s="12">
        <f>Tabell2[[#This Row],[Salgspris]]*Tabell2[[#This Row],[Totalt antall]]</f>
        <v>25644</v>
      </c>
      <c r="O108" s="5">
        <v>12</v>
      </c>
      <c r="P108" s="5">
        <v>4</v>
      </c>
      <c r="Q108" s="5"/>
      <c r="R108" s="5">
        <v>4</v>
      </c>
      <c r="S108" s="5">
        <v>4</v>
      </c>
      <c r="T108" s="5"/>
      <c r="U108" s="5"/>
      <c r="V108" s="5"/>
      <c r="W108" s="9"/>
      <c r="X108" s="10" t="s">
        <v>162</v>
      </c>
    </row>
    <row r="109" spans="1:151" ht="47.45" customHeight="1">
      <c r="B109" s="13">
        <v>11785501</v>
      </c>
      <c r="C109" s="13" t="s">
        <v>331</v>
      </c>
      <c r="D109" s="13" t="s">
        <v>350</v>
      </c>
      <c r="E109" s="13">
        <v>2018</v>
      </c>
      <c r="F109" s="13" t="s">
        <v>87</v>
      </c>
      <c r="G109" s="13" t="s">
        <v>321</v>
      </c>
      <c r="H109" s="13" t="s">
        <v>351</v>
      </c>
      <c r="I109" s="13" t="s">
        <v>352</v>
      </c>
      <c r="J109" s="5" t="s">
        <v>51</v>
      </c>
      <c r="K109" s="17">
        <v>0.75</v>
      </c>
      <c r="L109" s="17" t="s">
        <v>353</v>
      </c>
      <c r="M109" s="12">
        <v>12</v>
      </c>
      <c r="N109" s="12">
        <f>Tabell2[[#This Row],[Salgspris]]*Tabell2[[#This Row],[Totalt antall]]</f>
        <v>7665.5999999999995</v>
      </c>
      <c r="O109" s="5">
        <v>6</v>
      </c>
      <c r="P109" s="5">
        <v>3</v>
      </c>
      <c r="Q109" s="5"/>
      <c r="R109" s="5">
        <v>3</v>
      </c>
      <c r="S109" s="5"/>
      <c r="T109" s="5"/>
      <c r="U109" s="5"/>
      <c r="V109" s="5"/>
      <c r="W109" s="9"/>
      <c r="X109" s="10"/>
    </row>
    <row r="110" spans="1:151" ht="47.45" customHeight="1">
      <c r="B110" s="13">
        <v>11785201</v>
      </c>
      <c r="C110" s="13" t="s">
        <v>331</v>
      </c>
      <c r="D110" s="13" t="s">
        <v>354</v>
      </c>
      <c r="E110" s="13">
        <v>2018</v>
      </c>
      <c r="F110" s="13" t="s">
        <v>87</v>
      </c>
      <c r="G110" s="13" t="s">
        <v>321</v>
      </c>
      <c r="H110" s="13" t="s">
        <v>351</v>
      </c>
      <c r="I110" s="13" t="s">
        <v>352</v>
      </c>
      <c r="J110" s="5" t="s">
        <v>51</v>
      </c>
      <c r="K110" s="17">
        <v>0.75</v>
      </c>
      <c r="L110" s="17" t="s">
        <v>355</v>
      </c>
      <c r="M110" s="12">
        <v>6</v>
      </c>
      <c r="N110" s="12">
        <f>Tabell2[[#This Row],[Salgspris]]*Tabell2[[#This Row],[Totalt antall]]</f>
        <v>15598.800000000001</v>
      </c>
      <c r="O110" s="5">
        <v>3</v>
      </c>
      <c r="P110" s="5">
        <v>1</v>
      </c>
      <c r="Q110" s="5"/>
      <c r="R110" s="5">
        <v>1</v>
      </c>
      <c r="S110" s="5">
        <v>1</v>
      </c>
      <c r="T110" s="5"/>
      <c r="U110" s="5"/>
      <c r="V110" s="5"/>
      <c r="W110" s="9"/>
      <c r="X110" s="10" t="s">
        <v>162</v>
      </c>
    </row>
    <row r="111" spans="1:151" ht="47.45" customHeight="1">
      <c r="B111" s="13">
        <v>11786601</v>
      </c>
      <c r="C111" s="13" t="s">
        <v>331</v>
      </c>
      <c r="D111" s="13" t="s">
        <v>356</v>
      </c>
      <c r="E111" s="13">
        <v>2018</v>
      </c>
      <c r="F111" s="13" t="s">
        <v>87</v>
      </c>
      <c r="G111" s="13" t="s">
        <v>321</v>
      </c>
      <c r="H111" s="13" t="s">
        <v>351</v>
      </c>
      <c r="I111" s="13" t="s">
        <v>352</v>
      </c>
      <c r="J111" s="5" t="s">
        <v>51</v>
      </c>
      <c r="K111" s="17">
        <v>0.75</v>
      </c>
      <c r="L111" s="17" t="s">
        <v>357</v>
      </c>
      <c r="M111" s="12">
        <v>18</v>
      </c>
      <c r="N111" s="12">
        <f>Tabell2[[#This Row],[Salgspris]]*Tabell2[[#This Row],[Totalt antall]]</f>
        <v>6386.4000000000005</v>
      </c>
      <c r="O111" s="5">
        <v>9</v>
      </c>
      <c r="P111" s="5"/>
      <c r="Q111" s="5">
        <v>3</v>
      </c>
      <c r="R111" s="5"/>
      <c r="S111" s="5">
        <v>3</v>
      </c>
      <c r="T111" s="5">
        <v>3</v>
      </c>
      <c r="U111" s="5"/>
      <c r="V111" s="5"/>
      <c r="W111" s="9"/>
      <c r="X111" s="10"/>
    </row>
    <row r="112" spans="1:151" ht="47.45" customHeight="1">
      <c r="B112" s="13">
        <v>11785701</v>
      </c>
      <c r="C112" s="13" t="s">
        <v>331</v>
      </c>
      <c r="D112" s="13" t="s">
        <v>358</v>
      </c>
      <c r="E112" s="13">
        <v>2018</v>
      </c>
      <c r="F112" s="13" t="s">
        <v>87</v>
      </c>
      <c r="G112" s="13" t="s">
        <v>321</v>
      </c>
      <c r="H112" s="13" t="s">
        <v>351</v>
      </c>
      <c r="I112" s="13" t="s">
        <v>359</v>
      </c>
      <c r="J112" s="5" t="s">
        <v>51</v>
      </c>
      <c r="K112" s="17">
        <v>0.75</v>
      </c>
      <c r="L112" s="17" t="s">
        <v>360</v>
      </c>
      <c r="M112" s="12">
        <v>120</v>
      </c>
      <c r="N112" s="12">
        <f>Tabell2[[#This Row],[Salgspris]]*Tabell2[[#This Row],[Totalt antall]]</f>
        <v>28764</v>
      </c>
      <c r="O112" s="5">
        <v>42</v>
      </c>
      <c r="P112" s="5">
        <v>12</v>
      </c>
      <c r="Q112" s="5">
        <v>12</v>
      </c>
      <c r="R112" s="5">
        <v>12</v>
      </c>
      <c r="S112" s="5">
        <v>18</v>
      </c>
      <c r="T112" s="5">
        <v>12</v>
      </c>
      <c r="U112" s="5">
        <v>12</v>
      </c>
      <c r="V112" s="5"/>
      <c r="W112" s="21"/>
      <c r="X112" s="10"/>
    </row>
    <row r="113" spans="1:151" ht="47.45" customHeight="1">
      <c r="B113" s="13">
        <v>11785401</v>
      </c>
      <c r="C113" s="13" t="s">
        <v>331</v>
      </c>
      <c r="D113" s="13" t="s">
        <v>361</v>
      </c>
      <c r="E113" s="13">
        <v>2018</v>
      </c>
      <c r="F113" s="13" t="s">
        <v>87</v>
      </c>
      <c r="G113" s="13" t="s">
        <v>321</v>
      </c>
      <c r="H113" s="13" t="s">
        <v>362</v>
      </c>
      <c r="I113" s="13" t="s">
        <v>363</v>
      </c>
      <c r="J113" s="5" t="s">
        <v>51</v>
      </c>
      <c r="K113" s="17">
        <v>0.75</v>
      </c>
      <c r="L113" s="17" t="s">
        <v>364</v>
      </c>
      <c r="M113" s="12">
        <v>12</v>
      </c>
      <c r="N113" s="12">
        <f>Tabell2[[#This Row],[Salgspris]]*Tabell2[[#This Row],[Totalt antall]]</f>
        <v>5869.2000000000007</v>
      </c>
      <c r="O113" s="5">
        <v>6</v>
      </c>
      <c r="P113" s="5">
        <v>2</v>
      </c>
      <c r="Q113" s="5"/>
      <c r="R113" s="5">
        <v>2</v>
      </c>
      <c r="S113" s="5">
        <v>2</v>
      </c>
      <c r="T113" s="5"/>
      <c r="U113" s="5"/>
      <c r="V113" s="5"/>
      <c r="W113" s="21"/>
      <c r="X113" s="10" t="s">
        <v>162</v>
      </c>
    </row>
    <row r="114" spans="1:151" ht="47.45" customHeight="1">
      <c r="B114" s="13">
        <v>11786401</v>
      </c>
      <c r="C114" s="13" t="s">
        <v>331</v>
      </c>
      <c r="D114" s="13" t="s">
        <v>365</v>
      </c>
      <c r="E114" s="13">
        <v>2018</v>
      </c>
      <c r="F114" s="13" t="s">
        <v>87</v>
      </c>
      <c r="G114" s="13" t="s">
        <v>321</v>
      </c>
      <c r="H114" s="13" t="s">
        <v>366</v>
      </c>
      <c r="I114" s="13" t="s">
        <v>367</v>
      </c>
      <c r="J114" s="5" t="s">
        <v>51</v>
      </c>
      <c r="K114" s="17">
        <v>0.75</v>
      </c>
      <c r="L114" s="17" t="s">
        <v>368</v>
      </c>
      <c r="M114" s="12">
        <v>336</v>
      </c>
      <c r="N114" s="12">
        <f>Tabell2[[#This Row],[Salgspris]]*Tabell2[[#This Row],[Totalt antall]]</f>
        <v>157752</v>
      </c>
      <c r="O114" s="5">
        <v>144</v>
      </c>
      <c r="P114" s="5">
        <v>36</v>
      </c>
      <c r="Q114" s="5">
        <v>24</v>
      </c>
      <c r="R114" s="5">
        <v>36</v>
      </c>
      <c r="S114" s="5">
        <v>36</v>
      </c>
      <c r="T114" s="5">
        <v>24</v>
      </c>
      <c r="U114" s="5">
        <v>24</v>
      </c>
      <c r="V114" s="5">
        <v>12</v>
      </c>
      <c r="W114" s="21"/>
      <c r="X114" s="10"/>
    </row>
    <row r="115" spans="1:151" s="2" customFormat="1" ht="47.45" customHeight="1">
      <c r="A115" s="5"/>
      <c r="B115" s="13">
        <v>11786705</v>
      </c>
      <c r="C115" s="13" t="s">
        <v>331</v>
      </c>
      <c r="D115" s="13" t="s">
        <v>365</v>
      </c>
      <c r="E115" s="13">
        <v>2018</v>
      </c>
      <c r="F115" s="13" t="s">
        <v>87</v>
      </c>
      <c r="G115" s="13" t="s">
        <v>321</v>
      </c>
      <c r="H115" s="13" t="s">
        <v>366</v>
      </c>
      <c r="I115" s="13" t="s">
        <v>367</v>
      </c>
      <c r="J115" s="5" t="s">
        <v>51</v>
      </c>
      <c r="K115" s="17">
        <v>1.5</v>
      </c>
      <c r="L115" s="17" t="s">
        <v>369</v>
      </c>
      <c r="M115" s="12">
        <v>24</v>
      </c>
      <c r="N115" s="12">
        <f>Tabell2[[#This Row],[Salgspris]]*Tabell2[[#This Row],[Totalt antall]]</f>
        <v>23424</v>
      </c>
      <c r="O115" s="5">
        <v>12</v>
      </c>
      <c r="P115" s="5">
        <v>4</v>
      </c>
      <c r="Q115" s="5"/>
      <c r="R115" s="5">
        <v>4</v>
      </c>
      <c r="S115" s="5">
        <v>4</v>
      </c>
      <c r="T115" s="5"/>
      <c r="U115" s="5"/>
      <c r="V115" s="5"/>
      <c r="W115" s="9"/>
      <c r="X115" s="10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</row>
    <row r="116" spans="1:151" ht="47.45" customHeight="1">
      <c r="B116" s="13">
        <v>11779601</v>
      </c>
      <c r="C116" s="13" t="s">
        <v>370</v>
      </c>
      <c r="D116" s="13" t="s">
        <v>371</v>
      </c>
      <c r="E116" s="13">
        <v>2018</v>
      </c>
      <c r="F116" s="13" t="s">
        <v>87</v>
      </c>
      <c r="G116" s="13" t="s">
        <v>321</v>
      </c>
      <c r="H116" s="13" t="s">
        <v>372</v>
      </c>
      <c r="I116" s="13" t="s">
        <v>373</v>
      </c>
      <c r="J116" s="5" t="s">
        <v>51</v>
      </c>
      <c r="K116" s="17">
        <v>0.75</v>
      </c>
      <c r="L116" s="17" t="s">
        <v>374</v>
      </c>
      <c r="M116" s="12">
        <v>60</v>
      </c>
      <c r="N116" s="12">
        <f>Tabell2[[#This Row],[Salgspris]]*Tabell2[[#This Row],[Totalt antall]]</f>
        <v>34194</v>
      </c>
      <c r="O116" s="5">
        <v>24</v>
      </c>
      <c r="P116" s="5">
        <v>6</v>
      </c>
      <c r="Q116" s="5">
        <v>6</v>
      </c>
      <c r="R116" s="5">
        <v>6</v>
      </c>
      <c r="S116" s="5">
        <v>6</v>
      </c>
      <c r="T116" s="5">
        <v>6</v>
      </c>
      <c r="U116" s="5">
        <v>6</v>
      </c>
      <c r="V116" s="5"/>
      <c r="W116" s="9"/>
      <c r="X116" s="10"/>
    </row>
    <row r="117" spans="1:151" ht="47.45" customHeight="1">
      <c r="B117" s="13">
        <v>11789101</v>
      </c>
      <c r="C117" s="13" t="s">
        <v>370</v>
      </c>
      <c r="D117" s="13" t="s">
        <v>375</v>
      </c>
      <c r="E117" s="13">
        <v>2018</v>
      </c>
      <c r="F117" s="13" t="s">
        <v>87</v>
      </c>
      <c r="G117" s="13" t="s">
        <v>321</v>
      </c>
      <c r="H117" s="13" t="s">
        <v>372</v>
      </c>
      <c r="I117" s="13" t="s">
        <v>376</v>
      </c>
      <c r="J117" s="5" t="s">
        <v>51</v>
      </c>
      <c r="K117" s="17">
        <v>0.75</v>
      </c>
      <c r="L117" s="17" t="s">
        <v>377</v>
      </c>
      <c r="M117" s="12">
        <v>96</v>
      </c>
      <c r="N117" s="12">
        <f>Tabell2[[#This Row],[Salgspris]]*Tabell2[[#This Row],[Totalt antall]]</f>
        <v>56448</v>
      </c>
      <c r="O117" s="5">
        <v>36</v>
      </c>
      <c r="P117" s="5">
        <v>12</v>
      </c>
      <c r="Q117" s="5">
        <v>6</v>
      </c>
      <c r="R117" s="5">
        <v>12</v>
      </c>
      <c r="S117" s="5">
        <v>12</v>
      </c>
      <c r="T117" s="5">
        <v>6</v>
      </c>
      <c r="U117" s="5">
        <v>6</v>
      </c>
      <c r="V117" s="5">
        <v>6</v>
      </c>
      <c r="W117" s="9"/>
      <c r="X117" s="10"/>
    </row>
    <row r="118" spans="1:151" ht="47.45" customHeight="1">
      <c r="B118" s="13">
        <v>11759501</v>
      </c>
      <c r="C118" s="13" t="s">
        <v>378</v>
      </c>
      <c r="D118" s="13" t="s">
        <v>379</v>
      </c>
      <c r="E118" s="13">
        <v>2018</v>
      </c>
      <c r="F118" s="13" t="s">
        <v>87</v>
      </c>
      <c r="G118" s="13" t="s">
        <v>321</v>
      </c>
      <c r="H118" s="13" t="s">
        <v>380</v>
      </c>
      <c r="I118" s="13" t="s">
        <v>381</v>
      </c>
      <c r="J118" s="5" t="s">
        <v>51</v>
      </c>
      <c r="K118" s="17">
        <v>0.75</v>
      </c>
      <c r="L118" s="17" t="s">
        <v>173</v>
      </c>
      <c r="M118" s="12">
        <v>600</v>
      </c>
      <c r="N118" s="12">
        <f>Tabell2[[#This Row],[Salgspris]]*Tabell2[[#This Row],[Totalt antall]]</f>
        <v>192600</v>
      </c>
      <c r="O118" s="5">
        <v>204</v>
      </c>
      <c r="P118" s="5">
        <v>60</v>
      </c>
      <c r="Q118" s="5">
        <v>60</v>
      </c>
      <c r="R118" s="5">
        <v>60</v>
      </c>
      <c r="S118" s="5">
        <v>60</v>
      </c>
      <c r="T118" s="5">
        <v>60</v>
      </c>
      <c r="U118" s="5">
        <v>60</v>
      </c>
      <c r="V118" s="5">
        <v>36</v>
      </c>
      <c r="W118" s="9"/>
      <c r="X118" s="10"/>
    </row>
    <row r="119" spans="1:151" ht="47.45" customHeight="1">
      <c r="B119" s="13">
        <v>11759101</v>
      </c>
      <c r="C119" s="13" t="s">
        <v>378</v>
      </c>
      <c r="D119" s="13" t="s">
        <v>382</v>
      </c>
      <c r="E119" s="13">
        <v>2018</v>
      </c>
      <c r="F119" s="13" t="s">
        <v>87</v>
      </c>
      <c r="G119" s="13" t="s">
        <v>321</v>
      </c>
      <c r="H119" s="13" t="s">
        <v>383</v>
      </c>
      <c r="I119" s="13" t="s">
        <v>384</v>
      </c>
      <c r="J119" s="5" t="s">
        <v>51</v>
      </c>
      <c r="K119" s="17">
        <v>0.75</v>
      </c>
      <c r="L119" s="17" t="s">
        <v>385</v>
      </c>
      <c r="M119" s="12">
        <v>132</v>
      </c>
      <c r="N119" s="12">
        <f>Tabell2[[#This Row],[Salgspris]]*Tabell2[[#This Row],[Totalt antall]]</f>
        <v>48048</v>
      </c>
      <c r="O119" s="5">
        <v>48</v>
      </c>
      <c r="P119" s="5">
        <v>12</v>
      </c>
      <c r="Q119" s="5">
        <v>12</v>
      </c>
      <c r="R119" s="5">
        <v>12</v>
      </c>
      <c r="S119" s="5">
        <v>12</v>
      </c>
      <c r="T119" s="5">
        <v>12</v>
      </c>
      <c r="U119" s="5">
        <v>12</v>
      </c>
      <c r="V119" s="5">
        <v>12</v>
      </c>
      <c r="W119" s="21"/>
      <c r="X119" s="10"/>
    </row>
    <row r="120" spans="1:151" ht="47.45" customHeight="1">
      <c r="B120" s="13">
        <v>11765501</v>
      </c>
      <c r="C120" s="13" t="s">
        <v>386</v>
      </c>
      <c r="D120" s="13" t="s">
        <v>387</v>
      </c>
      <c r="E120" s="13">
        <v>2018</v>
      </c>
      <c r="F120" s="13" t="s">
        <v>87</v>
      </c>
      <c r="G120" s="13" t="s">
        <v>321</v>
      </c>
      <c r="H120" s="13" t="s">
        <v>337</v>
      </c>
      <c r="I120" s="13" t="s">
        <v>388</v>
      </c>
      <c r="J120" s="5" t="s">
        <v>51</v>
      </c>
      <c r="K120" s="17">
        <v>0.75</v>
      </c>
      <c r="L120" s="17" t="s">
        <v>164</v>
      </c>
      <c r="M120" s="12">
        <v>120</v>
      </c>
      <c r="N120" s="12">
        <f>Tabell2[[#This Row],[Salgspris]]*Tabell2[[#This Row],[Totalt antall]]</f>
        <v>37200</v>
      </c>
      <c r="O120" s="5">
        <v>36</v>
      </c>
      <c r="P120" s="5">
        <v>12</v>
      </c>
      <c r="Q120" s="5">
        <v>12</v>
      </c>
      <c r="R120" s="5">
        <v>12</v>
      </c>
      <c r="S120" s="5">
        <v>12</v>
      </c>
      <c r="T120" s="5">
        <v>12</v>
      </c>
      <c r="U120" s="5">
        <v>12</v>
      </c>
      <c r="V120" s="5">
        <v>12</v>
      </c>
      <c r="W120" s="21"/>
      <c r="X120" s="10"/>
    </row>
    <row r="121" spans="1:151" ht="47.45" customHeight="1">
      <c r="B121" s="13">
        <v>11765902</v>
      </c>
      <c r="C121" s="13" t="s">
        <v>386</v>
      </c>
      <c r="D121" s="13" t="s">
        <v>389</v>
      </c>
      <c r="E121" s="13">
        <v>2018</v>
      </c>
      <c r="F121" s="13" t="s">
        <v>87</v>
      </c>
      <c r="G121" s="13" t="s">
        <v>321</v>
      </c>
      <c r="H121" s="13" t="s">
        <v>337</v>
      </c>
      <c r="I121" s="13" t="s">
        <v>338</v>
      </c>
      <c r="J121" s="5" t="s">
        <v>51</v>
      </c>
      <c r="K121" s="17">
        <v>0.375</v>
      </c>
      <c r="L121" s="17" t="s">
        <v>390</v>
      </c>
      <c r="M121" s="12">
        <v>120</v>
      </c>
      <c r="N121" s="12">
        <f>Tabell2[[#This Row],[Salgspris]]*Tabell2[[#This Row],[Totalt antall]]</f>
        <v>31200</v>
      </c>
      <c r="O121" s="5">
        <v>36</v>
      </c>
      <c r="P121" s="5">
        <v>12</v>
      </c>
      <c r="Q121" s="5">
        <v>12</v>
      </c>
      <c r="R121" s="5">
        <v>12</v>
      </c>
      <c r="S121" s="5">
        <v>12</v>
      </c>
      <c r="T121" s="5">
        <v>12</v>
      </c>
      <c r="U121" s="5">
        <v>12</v>
      </c>
      <c r="V121" s="5">
        <v>12</v>
      </c>
      <c r="W121" s="9"/>
      <c r="X121" s="10"/>
    </row>
    <row r="122" spans="1:151" s="2" customFormat="1" ht="47.45" customHeight="1">
      <c r="A122" s="5"/>
      <c r="B122" s="13">
        <v>11765802</v>
      </c>
      <c r="C122" s="13" t="s">
        <v>386</v>
      </c>
      <c r="D122" s="13" t="s">
        <v>391</v>
      </c>
      <c r="E122" s="13">
        <v>2018</v>
      </c>
      <c r="F122" s="13" t="s">
        <v>87</v>
      </c>
      <c r="G122" s="13" t="s">
        <v>321</v>
      </c>
      <c r="H122" s="13" t="s">
        <v>337</v>
      </c>
      <c r="I122" s="13" t="s">
        <v>338</v>
      </c>
      <c r="J122" s="5" t="s">
        <v>51</v>
      </c>
      <c r="K122" s="17">
        <v>0.375</v>
      </c>
      <c r="L122" s="17" t="s">
        <v>392</v>
      </c>
      <c r="M122" s="12">
        <v>36</v>
      </c>
      <c r="N122" s="12">
        <f>Tabell2[[#This Row],[Salgspris]]*Tabell2[[#This Row],[Totalt antall]]</f>
        <v>26640</v>
      </c>
      <c r="O122" s="5">
        <v>18</v>
      </c>
      <c r="P122" s="5">
        <v>3</v>
      </c>
      <c r="Q122" s="5">
        <v>3</v>
      </c>
      <c r="R122" s="5">
        <v>3</v>
      </c>
      <c r="S122" s="5">
        <v>3</v>
      </c>
      <c r="T122" s="5">
        <v>3</v>
      </c>
      <c r="U122" s="5">
        <v>3</v>
      </c>
      <c r="V122" s="5"/>
      <c r="W122" s="9"/>
      <c r="X122" s="10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</row>
    <row r="123" spans="1:151" ht="47.45" customHeight="1">
      <c r="B123" s="13">
        <v>11765601</v>
      </c>
      <c r="C123" s="13" t="s">
        <v>386</v>
      </c>
      <c r="D123" s="13" t="s">
        <v>393</v>
      </c>
      <c r="E123" s="13">
        <v>2018</v>
      </c>
      <c r="F123" s="13" t="s">
        <v>87</v>
      </c>
      <c r="G123" s="13" t="s">
        <v>321</v>
      </c>
      <c r="H123" s="13" t="s">
        <v>337</v>
      </c>
      <c r="I123" s="13" t="s">
        <v>338</v>
      </c>
      <c r="J123" s="5" t="s">
        <v>51</v>
      </c>
      <c r="K123" s="17">
        <v>0.75</v>
      </c>
      <c r="L123" s="17" t="s">
        <v>394</v>
      </c>
      <c r="M123" s="12">
        <v>180</v>
      </c>
      <c r="N123" s="12">
        <f>Tabell2[[#This Row],[Salgspris]]*Tabell2[[#This Row],[Totalt antall]]</f>
        <v>69300</v>
      </c>
      <c r="O123" s="5">
        <v>60</v>
      </c>
      <c r="P123" s="5">
        <v>24</v>
      </c>
      <c r="Q123" s="5">
        <v>12</v>
      </c>
      <c r="R123" s="5">
        <v>24</v>
      </c>
      <c r="S123" s="5">
        <v>24</v>
      </c>
      <c r="T123" s="5">
        <v>12</v>
      </c>
      <c r="U123" s="5">
        <v>12</v>
      </c>
      <c r="V123" s="5">
        <v>12</v>
      </c>
      <c r="W123" s="9"/>
      <c r="X123" s="10"/>
    </row>
    <row r="124" spans="1:151" ht="47.45" customHeight="1">
      <c r="B124" s="13">
        <v>11765401</v>
      </c>
      <c r="C124" s="13" t="s">
        <v>386</v>
      </c>
      <c r="D124" s="13" t="s">
        <v>395</v>
      </c>
      <c r="E124" s="13">
        <v>2018</v>
      </c>
      <c r="F124" s="13" t="s">
        <v>87</v>
      </c>
      <c r="G124" s="13" t="s">
        <v>321</v>
      </c>
      <c r="H124" s="13" t="s">
        <v>337</v>
      </c>
      <c r="I124" s="13" t="s">
        <v>396</v>
      </c>
      <c r="J124" s="5" t="s">
        <v>51</v>
      </c>
      <c r="K124" s="17">
        <v>0.75</v>
      </c>
      <c r="L124" s="17" t="s">
        <v>397</v>
      </c>
      <c r="M124" s="12">
        <v>120</v>
      </c>
      <c r="N124" s="12">
        <f>Tabell2[[#This Row],[Salgspris]]*Tabell2[[#This Row],[Totalt antall]]</f>
        <v>42600</v>
      </c>
      <c r="O124" s="5">
        <v>36</v>
      </c>
      <c r="P124" s="5">
        <v>12</v>
      </c>
      <c r="Q124" s="5">
        <v>12</v>
      </c>
      <c r="R124" s="5">
        <v>12</v>
      </c>
      <c r="S124" s="5">
        <v>12</v>
      </c>
      <c r="T124" s="5">
        <v>12</v>
      </c>
      <c r="U124" s="5">
        <v>12</v>
      </c>
      <c r="V124" s="5">
        <v>12</v>
      </c>
      <c r="W124" s="9"/>
      <c r="X124" s="10"/>
    </row>
    <row r="125" spans="1:151" ht="47.45" customHeight="1">
      <c r="B125" s="13">
        <v>11766002</v>
      </c>
      <c r="C125" s="13" t="s">
        <v>386</v>
      </c>
      <c r="D125" s="13" t="s">
        <v>398</v>
      </c>
      <c r="E125" s="13">
        <v>2018</v>
      </c>
      <c r="F125" s="13" t="s">
        <v>87</v>
      </c>
      <c r="G125" s="13" t="s">
        <v>321</v>
      </c>
      <c r="H125" s="13" t="s">
        <v>337</v>
      </c>
      <c r="I125" s="13" t="s">
        <v>396</v>
      </c>
      <c r="J125" s="5" t="s">
        <v>51</v>
      </c>
      <c r="K125" s="17">
        <v>0.375</v>
      </c>
      <c r="L125" s="17" t="s">
        <v>399</v>
      </c>
      <c r="M125" s="12">
        <v>12</v>
      </c>
      <c r="N125" s="12">
        <f>Tabell2[[#This Row],[Salgspris]]*Tabell2[[#This Row],[Totalt antall]]</f>
        <v>14280</v>
      </c>
      <c r="O125" s="5">
        <v>6</v>
      </c>
      <c r="P125" s="5">
        <v>2</v>
      </c>
      <c r="Q125" s="5"/>
      <c r="R125" s="5">
        <v>2</v>
      </c>
      <c r="S125" s="5">
        <v>2</v>
      </c>
      <c r="T125" s="5"/>
      <c r="U125" s="5"/>
      <c r="V125" s="5"/>
      <c r="W125" s="9"/>
      <c r="X125" s="10"/>
    </row>
    <row r="126" spans="1:151" s="2" customFormat="1" ht="47.45" customHeight="1">
      <c r="A126" s="5"/>
      <c r="B126" s="13">
        <v>11765701</v>
      </c>
      <c r="C126" s="13" t="s">
        <v>386</v>
      </c>
      <c r="D126" s="13" t="s">
        <v>400</v>
      </c>
      <c r="E126" s="13">
        <v>2018</v>
      </c>
      <c r="F126" s="13" t="s">
        <v>87</v>
      </c>
      <c r="G126" s="13" t="s">
        <v>321</v>
      </c>
      <c r="H126" s="13" t="s">
        <v>322</v>
      </c>
      <c r="I126" s="13" t="s">
        <v>347</v>
      </c>
      <c r="J126" s="5" t="s">
        <v>51</v>
      </c>
      <c r="K126" s="17">
        <v>0.75</v>
      </c>
      <c r="L126" s="17" t="s">
        <v>401</v>
      </c>
      <c r="M126" s="12">
        <v>240</v>
      </c>
      <c r="N126" s="12">
        <f>Tabell2[[#This Row],[Salgspris]]*Tabell2[[#This Row],[Totalt antall]]</f>
        <v>86400</v>
      </c>
      <c r="O126" s="5">
        <v>90</v>
      </c>
      <c r="P126" s="5">
        <v>24</v>
      </c>
      <c r="Q126" s="5">
        <v>24</v>
      </c>
      <c r="R126" s="5">
        <v>24</v>
      </c>
      <c r="S126" s="5">
        <v>24</v>
      </c>
      <c r="T126" s="5">
        <v>24</v>
      </c>
      <c r="U126" s="5">
        <v>18</v>
      </c>
      <c r="V126" s="5">
        <v>12</v>
      </c>
      <c r="W126" s="9"/>
      <c r="X126" s="10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</row>
    <row r="127" spans="1:151" ht="47.45" customHeight="1">
      <c r="B127" s="13">
        <v>11778601</v>
      </c>
      <c r="C127" s="13" t="s">
        <v>402</v>
      </c>
      <c r="D127" s="13" t="s">
        <v>403</v>
      </c>
      <c r="E127" s="13">
        <v>2018</v>
      </c>
      <c r="F127" s="13" t="s">
        <v>87</v>
      </c>
      <c r="G127" s="13" t="s">
        <v>321</v>
      </c>
      <c r="H127" s="13" t="s">
        <v>404</v>
      </c>
      <c r="I127" s="13" t="s">
        <v>405</v>
      </c>
      <c r="J127" s="5" t="s">
        <v>51</v>
      </c>
      <c r="K127" s="17">
        <v>0.75</v>
      </c>
      <c r="L127" s="17" t="s">
        <v>406</v>
      </c>
      <c r="M127" s="12">
        <v>12</v>
      </c>
      <c r="N127" s="12">
        <f>Tabell2[[#This Row],[Salgspris]]*Tabell2[[#This Row],[Totalt antall]]</f>
        <v>8100</v>
      </c>
      <c r="O127" s="5">
        <v>6</v>
      </c>
      <c r="P127" s="5">
        <v>2</v>
      </c>
      <c r="Q127" s="5"/>
      <c r="R127" s="5">
        <v>2</v>
      </c>
      <c r="S127" s="5">
        <v>2</v>
      </c>
      <c r="T127" s="5"/>
      <c r="U127" s="5"/>
      <c r="V127" s="5"/>
      <c r="W127" s="9"/>
      <c r="X127" s="10" t="s">
        <v>162</v>
      </c>
    </row>
    <row r="128" spans="1:151" ht="47.45" customHeight="1">
      <c r="B128" s="13">
        <v>11788205</v>
      </c>
      <c r="C128" s="13" t="s">
        <v>402</v>
      </c>
      <c r="D128" s="13" t="s">
        <v>407</v>
      </c>
      <c r="E128" s="13">
        <v>2018</v>
      </c>
      <c r="F128" s="13" t="s">
        <v>87</v>
      </c>
      <c r="G128" s="13" t="s">
        <v>321</v>
      </c>
      <c r="H128" s="13" t="s">
        <v>404</v>
      </c>
      <c r="I128" s="13" t="s">
        <v>405</v>
      </c>
      <c r="J128" s="5" t="s">
        <v>51</v>
      </c>
      <c r="K128" s="17">
        <v>1.5</v>
      </c>
      <c r="L128" s="17" t="s">
        <v>408</v>
      </c>
      <c r="M128" s="12">
        <v>24</v>
      </c>
      <c r="N128" s="12">
        <f>Tabell2[[#This Row],[Salgspris]]*Tabell2[[#This Row],[Totalt antall]]</f>
        <v>34783.199999999997</v>
      </c>
      <c r="O128" s="5">
        <v>12</v>
      </c>
      <c r="P128" s="5">
        <v>4</v>
      </c>
      <c r="Q128" s="5"/>
      <c r="R128" s="5">
        <v>4</v>
      </c>
      <c r="S128" s="5">
        <v>4</v>
      </c>
      <c r="T128" s="5"/>
      <c r="U128" s="5"/>
      <c r="V128" s="5"/>
      <c r="W128" s="9"/>
      <c r="X128" s="10"/>
    </row>
    <row r="129" spans="2:24" ht="47.45" customHeight="1">
      <c r="B129" s="13">
        <v>11780201</v>
      </c>
      <c r="C129" s="13" t="s">
        <v>402</v>
      </c>
      <c r="D129" s="13" t="s">
        <v>409</v>
      </c>
      <c r="E129" s="13">
        <v>2018</v>
      </c>
      <c r="F129" s="13" t="s">
        <v>87</v>
      </c>
      <c r="G129" s="13" t="s">
        <v>321</v>
      </c>
      <c r="H129" s="13" t="s">
        <v>404</v>
      </c>
      <c r="I129" s="13" t="s">
        <v>410</v>
      </c>
      <c r="J129" s="5" t="s">
        <v>51</v>
      </c>
      <c r="K129" s="17">
        <v>0.75</v>
      </c>
      <c r="L129" s="17" t="s">
        <v>411</v>
      </c>
      <c r="M129" s="12">
        <v>72</v>
      </c>
      <c r="N129" s="12">
        <f>Tabell2[[#This Row],[Salgspris]]*Tabell2[[#This Row],[Totalt antall]]</f>
        <v>44568</v>
      </c>
      <c r="O129" s="5">
        <v>30</v>
      </c>
      <c r="P129" s="5">
        <v>6</v>
      </c>
      <c r="Q129" s="5">
        <v>6</v>
      </c>
      <c r="R129" s="5">
        <v>6</v>
      </c>
      <c r="S129" s="5">
        <v>6</v>
      </c>
      <c r="T129" s="5">
        <v>6</v>
      </c>
      <c r="U129" s="5">
        <v>6</v>
      </c>
      <c r="V129" s="5">
        <v>6</v>
      </c>
      <c r="W129" s="9"/>
      <c r="X129" s="10"/>
    </row>
    <row r="130" spans="2:24" ht="47.45" customHeight="1">
      <c r="B130" s="13">
        <v>11780301</v>
      </c>
      <c r="C130" s="13" t="s">
        <v>402</v>
      </c>
      <c r="D130" s="13" t="s">
        <v>371</v>
      </c>
      <c r="E130" s="13">
        <v>2018</v>
      </c>
      <c r="F130" s="13" t="s">
        <v>87</v>
      </c>
      <c r="G130" s="13" t="s">
        <v>321</v>
      </c>
      <c r="H130" s="13" t="s">
        <v>372</v>
      </c>
      <c r="I130" s="13" t="s">
        <v>373</v>
      </c>
      <c r="J130" s="5" t="s">
        <v>51</v>
      </c>
      <c r="K130" s="17">
        <v>0.75</v>
      </c>
      <c r="L130" s="17" t="s">
        <v>412</v>
      </c>
      <c r="M130" s="12">
        <v>48</v>
      </c>
      <c r="N130" s="12">
        <f>Tabell2[[#This Row],[Salgspris]]*Tabell2[[#This Row],[Totalt antall]]</f>
        <v>29217.600000000002</v>
      </c>
      <c r="O130" s="5">
        <v>24</v>
      </c>
      <c r="P130" s="5">
        <v>3</v>
      </c>
      <c r="Q130" s="5">
        <v>3</v>
      </c>
      <c r="R130" s="5">
        <v>6</v>
      </c>
      <c r="S130" s="5">
        <v>6</v>
      </c>
      <c r="T130" s="5">
        <v>3</v>
      </c>
      <c r="U130" s="5">
        <v>3</v>
      </c>
      <c r="V130" s="5"/>
      <c r="W130" s="9"/>
      <c r="X130" s="10"/>
    </row>
    <row r="131" spans="2:24" ht="47.45" customHeight="1">
      <c r="B131" s="13">
        <v>11780001</v>
      </c>
      <c r="C131" s="13" t="s">
        <v>402</v>
      </c>
      <c r="D131" s="13" t="s">
        <v>375</v>
      </c>
      <c r="E131" s="13">
        <v>2018</v>
      </c>
      <c r="F131" s="13" t="s">
        <v>87</v>
      </c>
      <c r="G131" s="13" t="s">
        <v>321</v>
      </c>
      <c r="H131" s="13" t="s">
        <v>372</v>
      </c>
      <c r="I131" s="13" t="s">
        <v>376</v>
      </c>
      <c r="J131" s="5" t="s">
        <v>51</v>
      </c>
      <c r="K131" s="17">
        <v>0.75</v>
      </c>
      <c r="L131" s="17" t="s">
        <v>413</v>
      </c>
      <c r="M131" s="12">
        <v>72</v>
      </c>
      <c r="N131" s="12">
        <f>Tabell2[[#This Row],[Salgspris]]*Tabell2[[#This Row],[Totalt antall]]</f>
        <v>45943.200000000004</v>
      </c>
      <c r="O131" s="5">
        <v>30</v>
      </c>
      <c r="P131" s="5">
        <v>6</v>
      </c>
      <c r="Q131" s="5">
        <v>6</v>
      </c>
      <c r="R131" s="5">
        <v>6</v>
      </c>
      <c r="S131" s="5">
        <v>6</v>
      </c>
      <c r="T131" s="5">
        <v>6</v>
      </c>
      <c r="U131" s="5">
        <v>6</v>
      </c>
      <c r="V131" s="5">
        <v>6</v>
      </c>
      <c r="W131" s="9"/>
      <c r="X131" s="10"/>
    </row>
    <row r="132" spans="2:24" ht="47.45" customHeight="1">
      <c r="B132" s="13">
        <v>11780101</v>
      </c>
      <c r="C132" s="13" t="s">
        <v>402</v>
      </c>
      <c r="D132" s="13" t="s">
        <v>414</v>
      </c>
      <c r="E132" s="13">
        <v>2018</v>
      </c>
      <c r="F132" s="13" t="s">
        <v>87</v>
      </c>
      <c r="G132" s="13" t="s">
        <v>321</v>
      </c>
      <c r="H132" s="13" t="s">
        <v>366</v>
      </c>
      <c r="I132" s="13" t="s">
        <v>415</v>
      </c>
      <c r="J132" s="5" t="s">
        <v>51</v>
      </c>
      <c r="K132" s="17">
        <v>0.75</v>
      </c>
      <c r="L132" s="17" t="s">
        <v>416</v>
      </c>
      <c r="M132" s="12">
        <v>36</v>
      </c>
      <c r="N132" s="12">
        <f>Tabell2[[#This Row],[Salgspris]]*Tabell2[[#This Row],[Totalt antall]]</f>
        <v>22485.600000000002</v>
      </c>
      <c r="O132" s="5">
        <v>18</v>
      </c>
      <c r="P132" s="5">
        <v>6</v>
      </c>
      <c r="Q132" s="5"/>
      <c r="R132" s="5">
        <v>6</v>
      </c>
      <c r="S132" s="5">
        <v>6</v>
      </c>
      <c r="T132" s="5"/>
      <c r="U132" s="5"/>
      <c r="V132" s="5"/>
      <c r="W132" s="9"/>
      <c r="X132" s="10"/>
    </row>
    <row r="133" spans="2:24" ht="47.45" customHeight="1">
      <c r="B133" s="13">
        <v>11774801</v>
      </c>
      <c r="C133" s="13" t="s">
        <v>417</v>
      </c>
      <c r="D133" s="13" t="s">
        <v>418</v>
      </c>
      <c r="E133" s="13">
        <v>2018</v>
      </c>
      <c r="F133" s="13" t="s">
        <v>87</v>
      </c>
      <c r="G133" s="13" t="s">
        <v>419</v>
      </c>
      <c r="H133" s="13" t="s">
        <v>420</v>
      </c>
      <c r="I133" s="13" t="s">
        <v>421</v>
      </c>
      <c r="J133" s="5" t="s">
        <v>51</v>
      </c>
      <c r="K133" s="17">
        <v>0.75</v>
      </c>
      <c r="L133" s="17" t="s">
        <v>422</v>
      </c>
      <c r="M133" s="12">
        <v>240</v>
      </c>
      <c r="N133" s="12">
        <f>Tabell2[[#This Row],[Salgspris]]*Tabell2[[#This Row],[Totalt antall]]</f>
        <v>53976</v>
      </c>
      <c r="O133" s="5">
        <v>84</v>
      </c>
      <c r="P133" s="5">
        <v>24</v>
      </c>
      <c r="Q133" s="5">
        <v>24</v>
      </c>
      <c r="R133" s="5">
        <v>24</v>
      </c>
      <c r="S133" s="5">
        <v>36</v>
      </c>
      <c r="T133" s="5">
        <v>24</v>
      </c>
      <c r="U133" s="5">
        <v>24</v>
      </c>
      <c r="V133" s="5"/>
      <c r="W133" s="9"/>
      <c r="X133" s="10"/>
    </row>
    <row r="134" spans="2:24" ht="47.45" customHeight="1">
      <c r="B134" s="13">
        <v>11774901</v>
      </c>
      <c r="C134" s="13" t="s">
        <v>417</v>
      </c>
      <c r="D134" s="13" t="s">
        <v>423</v>
      </c>
      <c r="E134" s="13">
        <v>2018</v>
      </c>
      <c r="F134" s="13" t="s">
        <v>87</v>
      </c>
      <c r="G134" s="13" t="s">
        <v>419</v>
      </c>
      <c r="H134" s="13" t="s">
        <v>424</v>
      </c>
      <c r="I134" s="13" t="s">
        <v>425</v>
      </c>
      <c r="J134" s="5" t="s">
        <v>51</v>
      </c>
      <c r="K134" s="17">
        <v>0.75</v>
      </c>
      <c r="L134" s="17" t="s">
        <v>426</v>
      </c>
      <c r="M134" s="12">
        <v>360</v>
      </c>
      <c r="N134" s="12">
        <f>Tabell2[[#This Row],[Salgspris]]*Tabell2[[#This Row],[Totalt antall]]</f>
        <v>131580</v>
      </c>
      <c r="O134" s="5">
        <v>144</v>
      </c>
      <c r="P134" s="5">
        <v>36</v>
      </c>
      <c r="Q134" s="5">
        <v>24</v>
      </c>
      <c r="R134" s="5">
        <v>48</v>
      </c>
      <c r="S134" s="5">
        <v>48</v>
      </c>
      <c r="T134" s="5">
        <v>24</v>
      </c>
      <c r="U134" s="5">
        <v>24</v>
      </c>
      <c r="V134" s="5">
        <v>12</v>
      </c>
      <c r="W134" s="9"/>
      <c r="X134" s="10"/>
    </row>
    <row r="135" spans="2:24" ht="47.45" customHeight="1">
      <c r="B135" s="13">
        <v>10886005</v>
      </c>
      <c r="C135" s="13" t="s">
        <v>417</v>
      </c>
      <c r="D135" s="13" t="s">
        <v>423</v>
      </c>
      <c r="E135" s="13">
        <v>2018</v>
      </c>
      <c r="F135" s="13" t="s">
        <v>87</v>
      </c>
      <c r="G135" s="13" t="s">
        <v>419</v>
      </c>
      <c r="H135" s="13" t="s">
        <v>424</v>
      </c>
      <c r="I135" s="13" t="s">
        <v>425</v>
      </c>
      <c r="J135" s="5" t="s">
        <v>51</v>
      </c>
      <c r="K135" s="17">
        <v>1.5</v>
      </c>
      <c r="L135" s="17" t="s">
        <v>427</v>
      </c>
      <c r="M135" s="12">
        <v>12</v>
      </c>
      <c r="N135" s="12">
        <f>Tabell2[[#This Row],[Salgspris]]*Tabell2[[#This Row],[Totalt antall]]</f>
        <v>9066</v>
      </c>
      <c r="O135" s="5">
        <v>6</v>
      </c>
      <c r="P135" s="5">
        <v>2</v>
      </c>
      <c r="Q135" s="5"/>
      <c r="R135" s="5">
        <v>2</v>
      </c>
      <c r="S135" s="5">
        <v>2</v>
      </c>
      <c r="T135" s="5"/>
      <c r="U135" s="5"/>
      <c r="V135" s="5"/>
      <c r="W135" s="9"/>
      <c r="X135" s="10"/>
    </row>
    <row r="136" spans="2:24" ht="47.45" customHeight="1">
      <c r="B136" s="13">
        <v>11784601</v>
      </c>
      <c r="C136" s="13" t="s">
        <v>417</v>
      </c>
      <c r="D136" s="13" t="s">
        <v>428</v>
      </c>
      <c r="E136" s="13">
        <v>2018</v>
      </c>
      <c r="F136" s="13" t="s">
        <v>87</v>
      </c>
      <c r="G136" s="13" t="s">
        <v>419</v>
      </c>
      <c r="H136" s="13" t="s">
        <v>424</v>
      </c>
      <c r="I136" s="13" t="s">
        <v>429</v>
      </c>
      <c r="J136" s="5" t="s">
        <v>51</v>
      </c>
      <c r="K136" s="17">
        <v>0.75</v>
      </c>
      <c r="L136" s="17" t="s">
        <v>430</v>
      </c>
      <c r="M136" s="12">
        <v>240</v>
      </c>
      <c r="N136" s="12">
        <f>Tabell2[[#This Row],[Salgspris]]*Tabell2[[#This Row],[Totalt antall]]</f>
        <v>87576</v>
      </c>
      <c r="O136" s="5">
        <v>84</v>
      </c>
      <c r="P136" s="5">
        <v>24</v>
      </c>
      <c r="Q136" s="5">
        <v>24</v>
      </c>
      <c r="R136" s="5">
        <v>24</v>
      </c>
      <c r="S136" s="5">
        <v>36</v>
      </c>
      <c r="T136" s="5">
        <v>24</v>
      </c>
      <c r="U136" s="5">
        <v>24</v>
      </c>
      <c r="V136" s="5"/>
      <c r="W136" s="9"/>
      <c r="X136" s="10"/>
    </row>
    <row r="137" spans="2:24" ht="47.45" customHeight="1">
      <c r="B137" s="13">
        <v>10885505</v>
      </c>
      <c r="C137" s="13" t="s">
        <v>417</v>
      </c>
      <c r="D137" s="13" t="s">
        <v>428</v>
      </c>
      <c r="E137" s="13">
        <v>2018</v>
      </c>
      <c r="F137" s="13" t="s">
        <v>87</v>
      </c>
      <c r="G137" s="13" t="s">
        <v>419</v>
      </c>
      <c r="H137" s="13" t="s">
        <v>424</v>
      </c>
      <c r="I137" s="13" t="s">
        <v>429</v>
      </c>
      <c r="J137" s="5" t="s">
        <v>51</v>
      </c>
      <c r="K137" s="17">
        <v>1.5</v>
      </c>
      <c r="L137" s="17" t="s">
        <v>427</v>
      </c>
      <c r="M137" s="12">
        <v>12</v>
      </c>
      <c r="N137" s="12">
        <f>Tabell2[[#This Row],[Salgspris]]*Tabell2[[#This Row],[Totalt antall]]</f>
        <v>9066</v>
      </c>
      <c r="O137" s="5">
        <v>6</v>
      </c>
      <c r="P137" s="5">
        <v>2</v>
      </c>
      <c r="Q137" s="5"/>
      <c r="R137" s="5">
        <v>2</v>
      </c>
      <c r="S137" s="5">
        <v>2</v>
      </c>
      <c r="T137" s="5"/>
      <c r="U137" s="5"/>
      <c r="V137" s="5"/>
      <c r="W137" s="9"/>
      <c r="X137" s="10"/>
    </row>
    <row r="138" spans="2:24" ht="47.45" customHeight="1">
      <c r="B138" s="13">
        <v>10885901</v>
      </c>
      <c r="C138" s="13" t="s">
        <v>417</v>
      </c>
      <c r="D138" s="13" t="s">
        <v>431</v>
      </c>
      <c r="E138" s="13">
        <v>2018</v>
      </c>
      <c r="F138" s="13" t="s">
        <v>87</v>
      </c>
      <c r="G138" s="13" t="s">
        <v>419</v>
      </c>
      <c r="H138" s="13" t="s">
        <v>424</v>
      </c>
      <c r="I138" s="13" t="s">
        <v>432</v>
      </c>
      <c r="J138" s="5" t="s">
        <v>51</v>
      </c>
      <c r="K138" s="17">
        <v>0.75</v>
      </c>
      <c r="L138" s="17" t="s">
        <v>422</v>
      </c>
      <c r="M138" s="12">
        <v>240</v>
      </c>
      <c r="N138" s="12">
        <f>Tabell2[[#This Row],[Salgspris]]*Tabell2[[#This Row],[Totalt antall]]</f>
        <v>53976</v>
      </c>
      <c r="O138" s="5">
        <v>84</v>
      </c>
      <c r="P138" s="5">
        <v>24</v>
      </c>
      <c r="Q138" s="5">
        <v>24</v>
      </c>
      <c r="R138" s="5">
        <v>24</v>
      </c>
      <c r="S138" s="5">
        <v>36</v>
      </c>
      <c r="T138" s="5">
        <v>24</v>
      </c>
      <c r="U138" s="5">
        <v>24</v>
      </c>
      <c r="V138" s="5"/>
      <c r="W138" s="9"/>
      <c r="X138" s="10"/>
    </row>
    <row r="139" spans="2:24" ht="47.45" customHeight="1">
      <c r="B139" s="13">
        <v>10886901</v>
      </c>
      <c r="C139" s="13" t="s">
        <v>417</v>
      </c>
      <c r="D139" s="13" t="s">
        <v>433</v>
      </c>
      <c r="E139" s="13">
        <v>2018</v>
      </c>
      <c r="F139" s="13" t="s">
        <v>87</v>
      </c>
      <c r="G139" s="13" t="s">
        <v>419</v>
      </c>
      <c r="H139" s="13" t="s">
        <v>424</v>
      </c>
      <c r="I139" s="13" t="s">
        <v>434</v>
      </c>
      <c r="J139" s="5" t="s">
        <v>51</v>
      </c>
      <c r="K139" s="17">
        <v>0.75</v>
      </c>
      <c r="L139" s="17" t="s">
        <v>430</v>
      </c>
      <c r="M139" s="12">
        <v>180</v>
      </c>
      <c r="N139" s="12">
        <f>Tabell2[[#This Row],[Salgspris]]*Tabell2[[#This Row],[Totalt antall]]</f>
        <v>65682</v>
      </c>
      <c r="O139" s="5">
        <v>72</v>
      </c>
      <c r="P139" s="5">
        <v>24</v>
      </c>
      <c r="Q139" s="5">
        <v>12</v>
      </c>
      <c r="R139" s="5">
        <v>24</v>
      </c>
      <c r="S139" s="5">
        <v>24</v>
      </c>
      <c r="T139" s="5">
        <v>12</v>
      </c>
      <c r="U139" s="5">
        <v>12</v>
      </c>
      <c r="V139" s="5"/>
      <c r="W139" s="9"/>
      <c r="X139" s="10"/>
    </row>
    <row r="140" spans="2:24" ht="47.45" customHeight="1">
      <c r="B140" s="13">
        <v>11775001</v>
      </c>
      <c r="C140" s="13" t="s">
        <v>417</v>
      </c>
      <c r="D140" s="13" t="s">
        <v>435</v>
      </c>
      <c r="E140" s="13">
        <v>2018</v>
      </c>
      <c r="F140" s="13" t="s">
        <v>87</v>
      </c>
      <c r="G140" s="13" t="s">
        <v>419</v>
      </c>
      <c r="H140" s="13" t="s">
        <v>424</v>
      </c>
      <c r="I140" s="13" t="s">
        <v>436</v>
      </c>
      <c r="J140" s="5" t="s">
        <v>51</v>
      </c>
      <c r="K140" s="17">
        <v>0.75</v>
      </c>
      <c r="L140" s="17" t="s">
        <v>430</v>
      </c>
      <c r="M140" s="12">
        <v>180</v>
      </c>
      <c r="N140" s="12">
        <f>Tabell2[[#This Row],[Salgspris]]*Tabell2[[#This Row],[Totalt antall]]</f>
        <v>65682</v>
      </c>
      <c r="O140" s="5">
        <v>72</v>
      </c>
      <c r="P140" s="5">
        <v>24</v>
      </c>
      <c r="Q140" s="5">
        <v>12</v>
      </c>
      <c r="R140" s="5">
        <v>12</v>
      </c>
      <c r="S140" s="5">
        <v>24</v>
      </c>
      <c r="T140" s="5">
        <v>12</v>
      </c>
      <c r="U140" s="5">
        <v>12</v>
      </c>
      <c r="V140" s="5">
        <v>12</v>
      </c>
      <c r="W140" s="9"/>
      <c r="X140" s="10"/>
    </row>
    <row r="141" spans="2:24" ht="47.45" customHeight="1">
      <c r="B141" s="13">
        <v>11785001</v>
      </c>
      <c r="C141" s="13" t="s">
        <v>437</v>
      </c>
      <c r="D141" s="13" t="s">
        <v>438</v>
      </c>
      <c r="E141" s="13">
        <v>2018</v>
      </c>
      <c r="F141" s="13" t="s">
        <v>87</v>
      </c>
      <c r="G141" s="13" t="s">
        <v>419</v>
      </c>
      <c r="H141" s="13" t="s">
        <v>439</v>
      </c>
      <c r="I141" s="13" t="s">
        <v>440</v>
      </c>
      <c r="J141" s="5" t="s">
        <v>51</v>
      </c>
      <c r="K141" s="17">
        <v>0.75</v>
      </c>
      <c r="L141" s="17" t="s">
        <v>441</v>
      </c>
      <c r="M141" s="12">
        <v>60</v>
      </c>
      <c r="N141" s="12">
        <f>Tabell2[[#This Row],[Salgspris]]*Tabell2[[#This Row],[Totalt antall]]</f>
        <v>32046</v>
      </c>
      <c r="O141" s="5">
        <v>24</v>
      </c>
      <c r="P141" s="5">
        <v>6</v>
      </c>
      <c r="Q141" s="5">
        <v>6</v>
      </c>
      <c r="R141" s="5">
        <v>6</v>
      </c>
      <c r="S141" s="5">
        <v>6</v>
      </c>
      <c r="T141" s="5">
        <v>6</v>
      </c>
      <c r="U141" s="5">
        <v>6</v>
      </c>
      <c r="V141" s="5"/>
      <c r="W141" s="9"/>
      <c r="X141" s="10"/>
    </row>
    <row r="142" spans="2:24" ht="47.45" customHeight="1">
      <c r="B142" s="13">
        <v>11787401</v>
      </c>
      <c r="C142" s="13" t="s">
        <v>437</v>
      </c>
      <c r="D142" s="13" t="s">
        <v>442</v>
      </c>
      <c r="E142" s="13">
        <v>2018</v>
      </c>
      <c r="F142" s="13" t="s">
        <v>87</v>
      </c>
      <c r="G142" s="13" t="s">
        <v>419</v>
      </c>
      <c r="H142" s="13" t="s">
        <v>443</v>
      </c>
      <c r="I142" s="13" t="s">
        <v>444</v>
      </c>
      <c r="J142" s="5" t="s">
        <v>51</v>
      </c>
      <c r="K142" s="17">
        <v>0.75</v>
      </c>
      <c r="L142" s="17" t="s">
        <v>374</v>
      </c>
      <c r="M142" s="12">
        <v>132</v>
      </c>
      <c r="N142" s="12">
        <f>Tabell2[[#This Row],[Salgspris]]*Tabell2[[#This Row],[Totalt antall]]</f>
        <v>75226.8</v>
      </c>
      <c r="O142" s="5">
        <v>48</v>
      </c>
      <c r="P142" s="5">
        <v>12</v>
      </c>
      <c r="Q142" s="5">
        <v>12</v>
      </c>
      <c r="R142" s="5">
        <v>12</v>
      </c>
      <c r="S142" s="5">
        <v>12</v>
      </c>
      <c r="T142" s="5">
        <v>12</v>
      </c>
      <c r="U142" s="5">
        <v>12</v>
      </c>
      <c r="V142" s="5">
        <v>12</v>
      </c>
      <c r="W142" s="9"/>
      <c r="X142" s="10"/>
    </row>
    <row r="143" spans="2:24" ht="47.45" customHeight="1">
      <c r="B143" s="13">
        <v>11785301</v>
      </c>
      <c r="C143" s="13" t="s">
        <v>437</v>
      </c>
      <c r="D143" s="13" t="s">
        <v>445</v>
      </c>
      <c r="E143" s="13">
        <v>2017</v>
      </c>
      <c r="F143" s="13" t="s">
        <v>87</v>
      </c>
      <c r="G143" s="13" t="s">
        <v>419</v>
      </c>
      <c r="H143" s="13" t="s">
        <v>443</v>
      </c>
      <c r="I143" s="13" t="s">
        <v>444</v>
      </c>
      <c r="J143" s="5" t="s">
        <v>28</v>
      </c>
      <c r="K143" s="17">
        <v>0.75</v>
      </c>
      <c r="L143" s="17" t="s">
        <v>446</v>
      </c>
      <c r="M143" s="12">
        <v>48</v>
      </c>
      <c r="N143" s="12">
        <f>Tabell2[[#This Row],[Salgspris]]*Tabell2[[#This Row],[Totalt antall]]</f>
        <v>30480</v>
      </c>
      <c r="O143" s="5">
        <v>21</v>
      </c>
      <c r="P143" s="5">
        <v>6</v>
      </c>
      <c r="Q143" s="5">
        <v>3</v>
      </c>
      <c r="R143" s="5">
        <v>6</v>
      </c>
      <c r="S143" s="5">
        <v>6</v>
      </c>
      <c r="T143" s="5">
        <v>3</v>
      </c>
      <c r="U143" s="5">
        <v>3</v>
      </c>
      <c r="V143" s="5"/>
      <c r="W143" s="9"/>
      <c r="X143" s="10"/>
    </row>
    <row r="144" spans="2:24" ht="47.45" customHeight="1">
      <c r="B144" s="13">
        <v>11784901</v>
      </c>
      <c r="C144" s="13" t="s">
        <v>437</v>
      </c>
      <c r="D144" s="13" t="s">
        <v>447</v>
      </c>
      <c r="E144" s="13">
        <v>2018</v>
      </c>
      <c r="F144" s="13" t="s">
        <v>87</v>
      </c>
      <c r="G144" s="13" t="s">
        <v>419</v>
      </c>
      <c r="H144" s="13" t="s">
        <v>443</v>
      </c>
      <c r="J144" s="5" t="s">
        <v>51</v>
      </c>
      <c r="K144" s="17">
        <v>0.75</v>
      </c>
      <c r="L144" s="17" t="s">
        <v>448</v>
      </c>
      <c r="M144" s="12">
        <v>240</v>
      </c>
      <c r="N144" s="12">
        <f>Tabell2[[#This Row],[Salgspris]]*Tabell2[[#This Row],[Totalt antall]]</f>
        <v>66960</v>
      </c>
      <c r="O144" s="5">
        <v>84</v>
      </c>
      <c r="P144" s="5">
        <v>24</v>
      </c>
      <c r="Q144" s="5">
        <v>18</v>
      </c>
      <c r="R144" s="5">
        <v>30</v>
      </c>
      <c r="S144" s="5">
        <v>36</v>
      </c>
      <c r="T144" s="5">
        <v>18</v>
      </c>
      <c r="U144" s="5">
        <v>18</v>
      </c>
      <c r="V144" s="5">
        <v>12</v>
      </c>
      <c r="W144" s="21"/>
      <c r="X144" s="10"/>
    </row>
    <row r="145" spans="1:24" ht="47.45" customHeight="1">
      <c r="B145" s="13">
        <v>11785101</v>
      </c>
      <c r="C145" s="13" t="s">
        <v>437</v>
      </c>
      <c r="D145" s="13" t="s">
        <v>449</v>
      </c>
      <c r="E145" s="13">
        <v>2018</v>
      </c>
      <c r="F145" s="13" t="s">
        <v>87</v>
      </c>
      <c r="G145" s="13" t="s">
        <v>419</v>
      </c>
      <c r="H145" s="13" t="s">
        <v>443</v>
      </c>
      <c r="I145" s="13" t="s">
        <v>450</v>
      </c>
      <c r="J145" s="5" t="s">
        <v>51</v>
      </c>
      <c r="K145" s="17">
        <v>0.75</v>
      </c>
      <c r="L145" s="17" t="s">
        <v>451</v>
      </c>
      <c r="M145" s="12">
        <v>132</v>
      </c>
      <c r="N145" s="12">
        <f>Tabell2[[#This Row],[Salgspris]]*Tabell2[[#This Row],[Totalt antall]]</f>
        <v>44682</v>
      </c>
      <c r="O145" s="5">
        <v>42</v>
      </c>
      <c r="P145" s="5">
        <v>18</v>
      </c>
      <c r="Q145" s="5">
        <v>12</v>
      </c>
      <c r="R145" s="5">
        <v>12</v>
      </c>
      <c r="S145" s="5">
        <v>18</v>
      </c>
      <c r="T145" s="5">
        <v>6</v>
      </c>
      <c r="U145" s="5">
        <v>12</v>
      </c>
      <c r="V145" s="5">
        <v>12</v>
      </c>
      <c r="W145" s="21"/>
      <c r="X145" s="10"/>
    </row>
    <row r="146" spans="1:24" ht="47.45" customHeight="1">
      <c r="B146" s="13">
        <v>11784801</v>
      </c>
      <c r="C146" s="13" t="s">
        <v>437</v>
      </c>
      <c r="D146" s="13" t="s">
        <v>452</v>
      </c>
      <c r="E146" s="13">
        <v>2018</v>
      </c>
      <c r="F146" s="13" t="s">
        <v>87</v>
      </c>
      <c r="G146" s="13" t="s">
        <v>419</v>
      </c>
      <c r="H146" s="13" t="s">
        <v>453</v>
      </c>
      <c r="J146" s="5" t="s">
        <v>51</v>
      </c>
      <c r="K146" s="17">
        <v>0.75</v>
      </c>
      <c r="L146" s="17" t="s">
        <v>454</v>
      </c>
      <c r="M146" s="12">
        <v>180</v>
      </c>
      <c r="N146" s="12">
        <f>Tabell2[[#This Row],[Salgspris]]*Tabell2[[#This Row],[Totalt antall]]</f>
        <v>51480</v>
      </c>
      <c r="O146" s="5">
        <v>78</v>
      </c>
      <c r="P146" s="5">
        <v>18</v>
      </c>
      <c r="Q146" s="5">
        <v>12</v>
      </c>
      <c r="R146" s="5">
        <v>18</v>
      </c>
      <c r="S146" s="5">
        <v>18</v>
      </c>
      <c r="T146" s="5">
        <v>12</v>
      </c>
      <c r="U146" s="5">
        <v>12</v>
      </c>
      <c r="V146" s="5">
        <v>12</v>
      </c>
      <c r="W146" s="21"/>
      <c r="X146" s="10"/>
    </row>
    <row r="147" spans="1:24" ht="47.45" customHeight="1">
      <c r="B147" s="13">
        <v>11771401</v>
      </c>
      <c r="C147" s="13" t="s">
        <v>455</v>
      </c>
      <c r="D147" s="13" t="s">
        <v>456</v>
      </c>
      <c r="E147" s="13">
        <v>2018</v>
      </c>
      <c r="F147" s="13" t="s">
        <v>87</v>
      </c>
      <c r="G147" s="13" t="s">
        <v>419</v>
      </c>
      <c r="H147" s="13" t="s">
        <v>420</v>
      </c>
      <c r="I147" s="13" t="s">
        <v>457</v>
      </c>
      <c r="J147" s="5" t="s">
        <v>51</v>
      </c>
      <c r="K147" s="17">
        <v>0.75</v>
      </c>
      <c r="L147" s="17" t="s">
        <v>458</v>
      </c>
      <c r="M147" s="12">
        <v>480</v>
      </c>
      <c r="N147" s="12">
        <f>Tabell2[[#This Row],[Salgspris]]*Tabell2[[#This Row],[Totalt antall]]</f>
        <v>172080</v>
      </c>
      <c r="O147" s="5">
        <v>180</v>
      </c>
      <c r="P147" s="5">
        <v>48</v>
      </c>
      <c r="Q147" s="5">
        <v>36</v>
      </c>
      <c r="R147" s="5">
        <v>48</v>
      </c>
      <c r="S147" s="5">
        <v>60</v>
      </c>
      <c r="T147" s="5">
        <v>36</v>
      </c>
      <c r="U147" s="5">
        <v>36</v>
      </c>
      <c r="V147" s="5">
        <v>36</v>
      </c>
      <c r="W147" s="9"/>
      <c r="X147" s="10"/>
    </row>
    <row r="148" spans="1:24" ht="47.45" customHeight="1">
      <c r="B148" s="13">
        <v>11771505</v>
      </c>
      <c r="C148" s="13" t="s">
        <v>455</v>
      </c>
      <c r="D148" s="13" t="s">
        <v>456</v>
      </c>
      <c r="E148" s="13">
        <v>2018</v>
      </c>
      <c r="F148" s="13" t="s">
        <v>87</v>
      </c>
      <c r="G148" s="13" t="s">
        <v>419</v>
      </c>
      <c r="H148" s="13" t="s">
        <v>420</v>
      </c>
      <c r="I148" s="13" t="s">
        <v>457</v>
      </c>
      <c r="J148" s="5" t="s">
        <v>51</v>
      </c>
      <c r="K148" s="17">
        <v>1.5</v>
      </c>
      <c r="L148" s="17" t="s">
        <v>459</v>
      </c>
      <c r="M148" s="12">
        <v>36</v>
      </c>
      <c r="N148" s="12">
        <f>Tabell2[[#This Row],[Salgspris]]*Tabell2[[#This Row],[Totalt antall]]</f>
        <v>26874</v>
      </c>
      <c r="O148" s="5">
        <v>18</v>
      </c>
      <c r="P148" s="5">
        <v>6</v>
      </c>
      <c r="Q148" s="5"/>
      <c r="R148" s="5">
        <v>6</v>
      </c>
      <c r="S148" s="5">
        <v>6</v>
      </c>
      <c r="T148" s="5"/>
      <c r="U148" s="5"/>
      <c r="V148" s="5"/>
      <c r="W148" s="21"/>
      <c r="X148" s="10"/>
    </row>
    <row r="149" spans="1:24" ht="47.45" customHeight="1">
      <c r="B149" s="13">
        <v>11771607</v>
      </c>
      <c r="C149" s="13" t="s">
        <v>455</v>
      </c>
      <c r="D149" s="13" t="s">
        <v>456</v>
      </c>
      <c r="E149" s="13">
        <v>2018</v>
      </c>
      <c r="F149" s="13" t="s">
        <v>87</v>
      </c>
      <c r="G149" s="13" t="s">
        <v>419</v>
      </c>
      <c r="H149" s="13" t="s">
        <v>420</v>
      </c>
      <c r="I149" s="13" t="s">
        <v>457</v>
      </c>
      <c r="J149" s="5" t="s">
        <v>51</v>
      </c>
      <c r="K149" s="17">
        <v>3</v>
      </c>
      <c r="L149" s="17" t="s">
        <v>460</v>
      </c>
      <c r="M149" s="12">
        <v>6</v>
      </c>
      <c r="N149" s="12">
        <f>Tabell2[[#This Row],[Salgspris]]*Tabell2[[#This Row],[Totalt antall]]</f>
        <v>9977.4000000000015</v>
      </c>
      <c r="O149" s="5">
        <v>3</v>
      </c>
      <c r="P149" s="5">
        <v>1</v>
      </c>
      <c r="Q149" s="5"/>
      <c r="R149" s="5">
        <v>1</v>
      </c>
      <c r="S149" s="5">
        <v>1</v>
      </c>
      <c r="T149" s="5"/>
      <c r="U149" s="5"/>
      <c r="V149" s="5"/>
      <c r="W149" s="9"/>
      <c r="X149" s="10"/>
    </row>
    <row r="150" spans="1:24" ht="47.45" customHeight="1">
      <c r="B150" s="13">
        <v>11772801</v>
      </c>
      <c r="C150" s="13" t="s">
        <v>455</v>
      </c>
      <c r="D150" s="13" t="s">
        <v>461</v>
      </c>
      <c r="E150" s="13">
        <v>2018</v>
      </c>
      <c r="F150" s="13" t="s">
        <v>87</v>
      </c>
      <c r="G150" s="13" t="s">
        <v>419</v>
      </c>
      <c r="H150" s="13" t="s">
        <v>420</v>
      </c>
      <c r="I150" s="13" t="s">
        <v>462</v>
      </c>
      <c r="J150" s="5" t="s">
        <v>51</v>
      </c>
      <c r="K150" s="17">
        <v>0.75</v>
      </c>
      <c r="L150" s="17" t="s">
        <v>463</v>
      </c>
      <c r="M150" s="12">
        <v>240</v>
      </c>
      <c r="N150" s="12">
        <f>Tabell2[[#This Row],[Salgspris]]*Tabell2[[#This Row],[Totalt antall]]</f>
        <v>95736</v>
      </c>
      <c r="O150" s="5">
        <v>96</v>
      </c>
      <c r="P150" s="5">
        <v>30</v>
      </c>
      <c r="Q150" s="5">
        <v>18</v>
      </c>
      <c r="R150" s="5">
        <v>24</v>
      </c>
      <c r="S150" s="5">
        <v>24</v>
      </c>
      <c r="T150" s="5">
        <v>18</v>
      </c>
      <c r="U150" s="5">
        <v>18</v>
      </c>
      <c r="V150" s="5">
        <v>12</v>
      </c>
      <c r="W150" s="9"/>
      <c r="X150" s="10"/>
    </row>
    <row r="151" spans="1:24" ht="47.45" customHeight="1">
      <c r="B151" s="13">
        <v>11772905</v>
      </c>
      <c r="C151" s="13" t="s">
        <v>455</v>
      </c>
      <c r="D151" s="13" t="s">
        <v>461</v>
      </c>
      <c r="E151" s="13">
        <v>2018</v>
      </c>
      <c r="F151" s="13" t="s">
        <v>87</v>
      </c>
      <c r="G151" s="13" t="s">
        <v>419</v>
      </c>
      <c r="H151" s="13" t="s">
        <v>420</v>
      </c>
      <c r="I151" s="13" t="s">
        <v>462</v>
      </c>
      <c r="J151" s="5" t="s">
        <v>51</v>
      </c>
      <c r="K151" s="17">
        <v>1.5</v>
      </c>
      <c r="L151" s="17" t="s">
        <v>464</v>
      </c>
      <c r="M151" s="12">
        <v>24</v>
      </c>
      <c r="N151" s="12">
        <f>Tabell2[[#This Row],[Salgspris]]*Tabell2[[#This Row],[Totalt antall]]</f>
        <v>19893.599999999999</v>
      </c>
      <c r="O151" s="5">
        <v>12</v>
      </c>
      <c r="P151" s="5">
        <v>4</v>
      </c>
      <c r="Q151" s="5"/>
      <c r="R151" s="5">
        <v>4</v>
      </c>
      <c r="S151" s="5">
        <v>4</v>
      </c>
      <c r="T151" s="5"/>
      <c r="U151" s="5"/>
      <c r="V151" s="5"/>
      <c r="W151" s="9"/>
      <c r="X151" s="10"/>
    </row>
    <row r="152" spans="1:24" ht="47.45" customHeight="1">
      <c r="B152" s="13">
        <v>11773007</v>
      </c>
      <c r="C152" s="13" t="s">
        <v>455</v>
      </c>
      <c r="D152" s="13" t="s">
        <v>461</v>
      </c>
      <c r="E152" s="13">
        <v>2018</v>
      </c>
      <c r="F152" s="13" t="s">
        <v>87</v>
      </c>
      <c r="G152" s="13" t="s">
        <v>419</v>
      </c>
      <c r="H152" s="13" t="s">
        <v>420</v>
      </c>
      <c r="I152" s="13" t="s">
        <v>462</v>
      </c>
      <c r="J152" s="5" t="s">
        <v>51</v>
      </c>
      <c r="K152" s="17">
        <v>3</v>
      </c>
      <c r="L152" s="17" t="s">
        <v>465</v>
      </c>
      <c r="M152" s="12">
        <v>6</v>
      </c>
      <c r="N152" s="12">
        <f>Tabell2[[#This Row],[Salgspris]]*Tabell2[[#This Row],[Totalt antall]]</f>
        <v>11398.8</v>
      </c>
      <c r="O152" s="5">
        <v>3</v>
      </c>
      <c r="P152" s="5">
        <v>1</v>
      </c>
      <c r="Q152" s="5"/>
      <c r="R152" s="5">
        <v>1</v>
      </c>
      <c r="S152" s="5">
        <v>1</v>
      </c>
      <c r="T152" s="5"/>
      <c r="U152" s="5"/>
      <c r="V152" s="5"/>
      <c r="W152" s="9"/>
      <c r="X152" s="10"/>
    </row>
    <row r="153" spans="1:24" s="6" customFormat="1" ht="47.45" customHeight="1">
      <c r="A153" s="5"/>
      <c r="B153" s="13">
        <v>11771201</v>
      </c>
      <c r="C153" s="13" t="s">
        <v>455</v>
      </c>
      <c r="D153" s="13" t="s">
        <v>418</v>
      </c>
      <c r="E153" s="13">
        <v>2018</v>
      </c>
      <c r="F153" s="13" t="s">
        <v>87</v>
      </c>
      <c r="G153" s="13" t="s">
        <v>419</v>
      </c>
      <c r="H153" s="13" t="s">
        <v>420</v>
      </c>
      <c r="I153" s="13" t="s">
        <v>421</v>
      </c>
      <c r="J153" s="5" t="s">
        <v>51</v>
      </c>
      <c r="K153" s="17">
        <v>0.75</v>
      </c>
      <c r="L153" s="17" t="s">
        <v>466</v>
      </c>
      <c r="M153" s="12">
        <v>240</v>
      </c>
      <c r="N153" s="12">
        <f>Tabell2[[#This Row],[Salgspris]]*Tabell2[[#This Row],[Totalt antall]]</f>
        <v>55128</v>
      </c>
      <c r="O153" s="5">
        <v>96</v>
      </c>
      <c r="P153" s="5">
        <v>24</v>
      </c>
      <c r="Q153" s="5">
        <v>24</v>
      </c>
      <c r="R153" s="5">
        <v>24</v>
      </c>
      <c r="S153" s="5">
        <v>24</v>
      </c>
      <c r="T153" s="5">
        <v>24</v>
      </c>
      <c r="U153" s="5">
        <v>24</v>
      </c>
      <c r="V153" s="5"/>
      <c r="W153" s="9"/>
      <c r="X153" s="10"/>
    </row>
    <row r="154" spans="1:24" s="6" customFormat="1" ht="47.45" customHeight="1">
      <c r="A154" s="5"/>
      <c r="B154" s="13">
        <v>11771301</v>
      </c>
      <c r="C154" s="13" t="s">
        <v>455</v>
      </c>
      <c r="D154" s="13" t="s">
        <v>467</v>
      </c>
      <c r="E154" s="13">
        <v>2018</v>
      </c>
      <c r="F154" s="13" t="s">
        <v>87</v>
      </c>
      <c r="G154" s="13" t="s">
        <v>419</v>
      </c>
      <c r="H154" s="13" t="s">
        <v>420</v>
      </c>
      <c r="I154" s="13" t="s">
        <v>468</v>
      </c>
      <c r="J154" s="5" t="s">
        <v>51</v>
      </c>
      <c r="K154" s="17">
        <v>0.75</v>
      </c>
      <c r="L154" s="17" t="s">
        <v>469</v>
      </c>
      <c r="M154" s="12">
        <v>360</v>
      </c>
      <c r="N154" s="12">
        <f>Tabell2[[#This Row],[Salgspris]]*Tabell2[[#This Row],[Totalt antall]]</f>
        <v>89568</v>
      </c>
      <c r="O154" s="5">
        <v>144</v>
      </c>
      <c r="P154" s="5">
        <v>48</v>
      </c>
      <c r="Q154" s="5">
        <v>24</v>
      </c>
      <c r="R154" s="5">
        <v>36</v>
      </c>
      <c r="S154" s="5">
        <v>48</v>
      </c>
      <c r="T154" s="5">
        <v>24</v>
      </c>
      <c r="U154" s="5">
        <v>24</v>
      </c>
      <c r="V154" s="5">
        <v>12</v>
      </c>
      <c r="W154" s="9"/>
      <c r="X154" s="10"/>
    </row>
    <row r="155" spans="1:24" s="6" customFormat="1" ht="47.45" customHeight="1">
      <c r="A155" s="5"/>
      <c r="B155" s="13">
        <v>11772001</v>
      </c>
      <c r="C155" s="13" t="s">
        <v>455</v>
      </c>
      <c r="D155" s="13" t="s">
        <v>470</v>
      </c>
      <c r="E155" s="13">
        <v>2018</v>
      </c>
      <c r="F155" s="13" t="s">
        <v>87</v>
      </c>
      <c r="G155" s="13" t="s">
        <v>419</v>
      </c>
      <c r="H155" s="13" t="s">
        <v>424</v>
      </c>
      <c r="I155" s="13" t="s">
        <v>471</v>
      </c>
      <c r="J155" s="5" t="s">
        <v>51</v>
      </c>
      <c r="K155" s="17">
        <v>0.75</v>
      </c>
      <c r="L155" s="17" t="s">
        <v>472</v>
      </c>
      <c r="M155" s="12">
        <v>360</v>
      </c>
      <c r="N155" s="12">
        <f>Tabell2[[#This Row],[Salgspris]]*Tabell2[[#This Row],[Totalt antall]]</f>
        <v>125820</v>
      </c>
      <c r="O155" s="5">
        <v>144</v>
      </c>
      <c r="P155" s="5">
        <v>48</v>
      </c>
      <c r="Q155" s="5">
        <v>24</v>
      </c>
      <c r="R155" s="5">
        <v>36</v>
      </c>
      <c r="S155" s="5">
        <v>48</v>
      </c>
      <c r="T155" s="5">
        <v>24</v>
      </c>
      <c r="U155" s="5">
        <v>24</v>
      </c>
      <c r="V155" s="5">
        <v>12</v>
      </c>
      <c r="W155" s="9"/>
      <c r="X155" s="10"/>
    </row>
    <row r="156" spans="1:24" s="6" customFormat="1" ht="47.45" customHeight="1">
      <c r="A156" s="5"/>
      <c r="B156" s="13">
        <v>11772105</v>
      </c>
      <c r="C156" s="13" t="s">
        <v>455</v>
      </c>
      <c r="D156" s="13" t="s">
        <v>470</v>
      </c>
      <c r="E156" s="13">
        <v>2018</v>
      </c>
      <c r="F156" s="13" t="s">
        <v>87</v>
      </c>
      <c r="G156" s="13" t="s">
        <v>419</v>
      </c>
      <c r="H156" s="13" t="s">
        <v>424</v>
      </c>
      <c r="I156" s="13" t="s">
        <v>471</v>
      </c>
      <c r="J156" s="5" t="s">
        <v>51</v>
      </c>
      <c r="K156" s="17">
        <v>1.5</v>
      </c>
      <c r="L156" s="17" t="s">
        <v>473</v>
      </c>
      <c r="M156" s="12">
        <v>36</v>
      </c>
      <c r="N156" s="12">
        <f>Tabell2[[#This Row],[Salgspris]]*Tabell2[[#This Row],[Totalt antall]]</f>
        <v>26298</v>
      </c>
      <c r="O156" s="5">
        <v>18</v>
      </c>
      <c r="P156" s="5">
        <v>6</v>
      </c>
      <c r="Q156" s="5"/>
      <c r="R156" s="5">
        <v>6</v>
      </c>
      <c r="S156" s="5">
        <v>6</v>
      </c>
      <c r="T156" s="5"/>
      <c r="U156" s="5"/>
      <c r="V156" s="5"/>
      <c r="W156" s="9"/>
      <c r="X156" s="10"/>
    </row>
    <row r="157" spans="1:24" ht="47.45" customHeight="1">
      <c r="B157" s="13">
        <v>11772207</v>
      </c>
      <c r="C157" s="13" t="s">
        <v>455</v>
      </c>
      <c r="D157" s="13" t="s">
        <v>470</v>
      </c>
      <c r="E157" s="13">
        <v>2018</v>
      </c>
      <c r="F157" s="13" t="s">
        <v>87</v>
      </c>
      <c r="G157" s="13" t="s">
        <v>419</v>
      </c>
      <c r="H157" s="13" t="s">
        <v>424</v>
      </c>
      <c r="I157" s="13" t="s">
        <v>471</v>
      </c>
      <c r="J157" s="5" t="s">
        <v>51</v>
      </c>
      <c r="K157" s="17">
        <v>3</v>
      </c>
      <c r="L157" s="17" t="s">
        <v>474</v>
      </c>
      <c r="M157" s="12">
        <v>6</v>
      </c>
      <c r="N157" s="12">
        <f>Tabell2[[#This Row],[Salgspris]]*Tabell2[[#This Row],[Totalt antall]]</f>
        <v>10099.799999999999</v>
      </c>
      <c r="O157" s="5">
        <v>3</v>
      </c>
      <c r="P157" s="5">
        <v>1</v>
      </c>
      <c r="Q157" s="5"/>
      <c r="R157" s="5">
        <v>1</v>
      </c>
      <c r="S157" s="5">
        <v>1</v>
      </c>
      <c r="T157" s="5"/>
      <c r="U157" s="5"/>
      <c r="V157" s="5"/>
      <c r="W157" s="9"/>
      <c r="X157" s="10"/>
    </row>
    <row r="158" spans="1:24" ht="47.45" customHeight="1">
      <c r="B158" s="13">
        <v>11772601</v>
      </c>
      <c r="C158" s="13" t="s">
        <v>455</v>
      </c>
      <c r="D158" s="13" t="s">
        <v>423</v>
      </c>
      <c r="E158" s="13">
        <v>2018</v>
      </c>
      <c r="F158" s="13" t="s">
        <v>87</v>
      </c>
      <c r="G158" s="13" t="s">
        <v>419</v>
      </c>
      <c r="H158" s="13" t="s">
        <v>424</v>
      </c>
      <c r="I158" s="13" t="s">
        <v>425</v>
      </c>
      <c r="J158" s="5" t="s">
        <v>51</v>
      </c>
      <c r="K158" s="17">
        <v>0.75</v>
      </c>
      <c r="L158" s="17" t="s">
        <v>463</v>
      </c>
      <c r="M158" s="12">
        <v>180</v>
      </c>
      <c r="N158" s="12">
        <f>Tabell2[[#This Row],[Salgspris]]*Tabell2[[#This Row],[Totalt antall]]</f>
        <v>71802</v>
      </c>
      <c r="O158" s="5">
        <v>78</v>
      </c>
      <c r="P158" s="5">
        <v>18</v>
      </c>
      <c r="Q158" s="5">
        <v>12</v>
      </c>
      <c r="R158" s="5">
        <v>18</v>
      </c>
      <c r="S158" s="5">
        <v>18</v>
      </c>
      <c r="T158" s="5">
        <v>12</v>
      </c>
      <c r="U158" s="5">
        <v>12</v>
      </c>
      <c r="V158" s="5">
        <v>12</v>
      </c>
      <c r="W158" s="9"/>
      <c r="X158" s="10"/>
    </row>
    <row r="159" spans="1:24" ht="47.45" customHeight="1">
      <c r="B159" s="13">
        <v>11772705</v>
      </c>
      <c r="C159" s="13" t="s">
        <v>455</v>
      </c>
      <c r="D159" s="13" t="s">
        <v>423</v>
      </c>
      <c r="E159" s="13">
        <v>2018</v>
      </c>
      <c r="F159" s="13" t="s">
        <v>87</v>
      </c>
      <c r="G159" s="13" t="s">
        <v>419</v>
      </c>
      <c r="H159" s="13" t="s">
        <v>424</v>
      </c>
      <c r="I159" s="13" t="s">
        <v>425</v>
      </c>
      <c r="J159" s="5" t="s">
        <v>51</v>
      </c>
      <c r="K159" s="17">
        <v>1.5</v>
      </c>
      <c r="L159" s="17" t="s">
        <v>464</v>
      </c>
      <c r="M159" s="12">
        <v>36</v>
      </c>
      <c r="N159" s="12">
        <f>Tabell2[[#This Row],[Salgspris]]*Tabell2[[#This Row],[Totalt antall]]</f>
        <v>29840.399999999998</v>
      </c>
      <c r="O159" s="5">
        <v>18</v>
      </c>
      <c r="P159" s="5">
        <v>3</v>
      </c>
      <c r="Q159" s="5">
        <v>3</v>
      </c>
      <c r="R159" s="5">
        <v>3</v>
      </c>
      <c r="S159" s="5">
        <v>3</v>
      </c>
      <c r="T159" s="5">
        <v>3</v>
      </c>
      <c r="U159" s="5">
        <v>3</v>
      </c>
      <c r="V159" s="5"/>
      <c r="W159" s="9"/>
      <c r="X159" s="10"/>
    </row>
    <row r="160" spans="1:24" ht="47.45" customHeight="1">
      <c r="B160" s="13">
        <v>11789507</v>
      </c>
      <c r="C160" s="13" t="s">
        <v>455</v>
      </c>
      <c r="D160" s="13" t="s">
        <v>423</v>
      </c>
      <c r="E160" s="13">
        <v>2018</v>
      </c>
      <c r="F160" s="13" t="s">
        <v>87</v>
      </c>
      <c r="G160" s="13" t="s">
        <v>419</v>
      </c>
      <c r="H160" s="13" t="s">
        <v>424</v>
      </c>
      <c r="I160" s="13" t="s">
        <v>425</v>
      </c>
      <c r="J160" s="5" t="s">
        <v>51</v>
      </c>
      <c r="K160" s="17">
        <v>3</v>
      </c>
      <c r="L160" s="17" t="s">
        <v>465</v>
      </c>
      <c r="M160" s="12">
        <v>6</v>
      </c>
      <c r="N160" s="12">
        <f>Tabell2[[#This Row],[Salgspris]]*Tabell2[[#This Row],[Totalt antall]]</f>
        <v>11398.8</v>
      </c>
      <c r="O160" s="5">
        <v>3</v>
      </c>
      <c r="P160" s="5">
        <v>1</v>
      </c>
      <c r="Q160" s="5"/>
      <c r="R160" s="5">
        <v>1</v>
      </c>
      <c r="S160" s="5">
        <v>1</v>
      </c>
      <c r="T160" s="5"/>
      <c r="U160" s="5"/>
      <c r="V160" s="5"/>
      <c r="W160" s="21"/>
      <c r="X160" s="10"/>
    </row>
    <row r="161" spans="2:24" ht="47.45" customHeight="1">
      <c r="B161" s="13">
        <v>11771001</v>
      </c>
      <c r="C161" s="13" t="s">
        <v>455</v>
      </c>
      <c r="D161" s="13" t="s">
        <v>431</v>
      </c>
      <c r="E161" s="13">
        <v>2018</v>
      </c>
      <c r="F161" s="13" t="s">
        <v>87</v>
      </c>
      <c r="G161" s="13" t="s">
        <v>419</v>
      </c>
      <c r="H161" s="13" t="s">
        <v>424</v>
      </c>
      <c r="I161" s="13" t="s">
        <v>432</v>
      </c>
      <c r="J161" s="5" t="s">
        <v>51</v>
      </c>
      <c r="K161" s="17">
        <v>0.75</v>
      </c>
      <c r="L161" s="17" t="s">
        <v>475</v>
      </c>
      <c r="M161" s="12">
        <v>360</v>
      </c>
      <c r="N161" s="12">
        <f>Tabell2[[#This Row],[Salgspris]]*Tabell2[[#This Row],[Totalt antall]]</f>
        <v>88020</v>
      </c>
      <c r="O161" s="5">
        <v>144</v>
      </c>
      <c r="P161" s="5">
        <v>48</v>
      </c>
      <c r="Q161" s="5">
        <v>24</v>
      </c>
      <c r="R161" s="5">
        <v>36</v>
      </c>
      <c r="S161" s="5">
        <v>48</v>
      </c>
      <c r="T161" s="5">
        <v>24</v>
      </c>
      <c r="U161" s="5">
        <v>24</v>
      </c>
      <c r="V161" s="5">
        <v>12</v>
      </c>
      <c r="W161" s="21"/>
      <c r="X161" s="10"/>
    </row>
    <row r="162" spans="2:24" ht="47.45" customHeight="1">
      <c r="B162" s="13">
        <v>11772301</v>
      </c>
      <c r="C162" s="13" t="s">
        <v>455</v>
      </c>
      <c r="D162" s="13" t="s">
        <v>433</v>
      </c>
      <c r="E162" s="13">
        <v>2018</v>
      </c>
      <c r="F162" s="13" t="s">
        <v>87</v>
      </c>
      <c r="G162" s="13" t="s">
        <v>419</v>
      </c>
      <c r="H162" s="13" t="s">
        <v>424</v>
      </c>
      <c r="I162" s="13" t="s">
        <v>434</v>
      </c>
      <c r="J162" s="5" t="s">
        <v>51</v>
      </c>
      <c r="K162" s="17">
        <v>0.75</v>
      </c>
      <c r="L162" s="17" t="s">
        <v>472</v>
      </c>
      <c r="M162" s="12">
        <v>360</v>
      </c>
      <c r="N162" s="12">
        <f>Tabell2[[#This Row],[Salgspris]]*Tabell2[[#This Row],[Totalt antall]]</f>
        <v>125820</v>
      </c>
      <c r="O162" s="5">
        <v>144</v>
      </c>
      <c r="P162" s="5">
        <v>48</v>
      </c>
      <c r="Q162" s="5">
        <v>24</v>
      </c>
      <c r="R162" s="5">
        <v>36</v>
      </c>
      <c r="S162" s="5">
        <v>48</v>
      </c>
      <c r="T162" s="5">
        <v>24</v>
      </c>
      <c r="U162" s="5">
        <v>24</v>
      </c>
      <c r="V162" s="5">
        <v>12</v>
      </c>
      <c r="W162" s="9"/>
      <c r="X162" s="10"/>
    </row>
    <row r="163" spans="2:24" ht="47.45" customHeight="1">
      <c r="B163" s="13">
        <v>11772405</v>
      </c>
      <c r="C163" s="13" t="s">
        <v>455</v>
      </c>
      <c r="D163" s="13" t="s">
        <v>433</v>
      </c>
      <c r="E163" s="13">
        <v>2018</v>
      </c>
      <c r="F163" s="13" t="s">
        <v>87</v>
      </c>
      <c r="G163" s="13" t="s">
        <v>419</v>
      </c>
      <c r="H163" s="13" t="s">
        <v>424</v>
      </c>
      <c r="I163" s="13" t="s">
        <v>434</v>
      </c>
      <c r="J163" s="5" t="s">
        <v>51</v>
      </c>
      <c r="K163" s="17">
        <v>1.5</v>
      </c>
      <c r="L163" s="17" t="s">
        <v>473</v>
      </c>
      <c r="M163" s="12">
        <v>36</v>
      </c>
      <c r="N163" s="12">
        <f>Tabell2[[#This Row],[Salgspris]]*Tabell2[[#This Row],[Totalt antall]]</f>
        <v>26298</v>
      </c>
      <c r="O163" s="5">
        <v>18</v>
      </c>
      <c r="P163" s="5">
        <v>6</v>
      </c>
      <c r="Q163" s="5"/>
      <c r="R163" s="5">
        <v>6</v>
      </c>
      <c r="S163" s="5">
        <v>6</v>
      </c>
      <c r="T163" s="5"/>
      <c r="U163" s="5"/>
      <c r="V163" s="5"/>
      <c r="W163" s="9"/>
      <c r="X163" s="10"/>
    </row>
    <row r="164" spans="2:24" ht="47.45" customHeight="1">
      <c r="B164" s="13">
        <v>11772507</v>
      </c>
      <c r="C164" s="13" t="s">
        <v>455</v>
      </c>
      <c r="D164" s="13" t="s">
        <v>433</v>
      </c>
      <c r="E164" s="13">
        <v>2018</v>
      </c>
      <c r="F164" s="13" t="s">
        <v>87</v>
      </c>
      <c r="G164" s="13" t="s">
        <v>419</v>
      </c>
      <c r="H164" s="13" t="s">
        <v>424</v>
      </c>
      <c r="I164" s="13" t="s">
        <v>434</v>
      </c>
      <c r="J164" s="5" t="s">
        <v>51</v>
      </c>
      <c r="K164" s="17">
        <v>3</v>
      </c>
      <c r="L164" s="17" t="s">
        <v>474</v>
      </c>
      <c r="M164" s="12">
        <v>6</v>
      </c>
      <c r="N164" s="12">
        <f>Tabell2[[#This Row],[Salgspris]]*Tabell2[[#This Row],[Totalt antall]]</f>
        <v>10099.799999999999</v>
      </c>
      <c r="O164" s="5">
        <v>3</v>
      </c>
      <c r="P164" s="5">
        <v>1</v>
      </c>
      <c r="Q164" s="5"/>
      <c r="R164" s="5">
        <v>1</v>
      </c>
      <c r="S164" s="5">
        <v>1</v>
      </c>
      <c r="T164" s="5"/>
      <c r="U164" s="5"/>
      <c r="V164" s="5"/>
      <c r="W164" s="9"/>
      <c r="X164" s="10"/>
    </row>
    <row r="165" spans="2:24" ht="47.45" customHeight="1">
      <c r="B165" s="13">
        <v>11771701</v>
      </c>
      <c r="C165" s="13" t="s">
        <v>455</v>
      </c>
      <c r="D165" s="13" t="s">
        <v>435</v>
      </c>
      <c r="E165" s="13">
        <v>2018</v>
      </c>
      <c r="F165" s="13" t="s">
        <v>87</v>
      </c>
      <c r="G165" s="13" t="s">
        <v>419</v>
      </c>
      <c r="H165" s="13" t="s">
        <v>424</v>
      </c>
      <c r="I165" s="13" t="s">
        <v>436</v>
      </c>
      <c r="J165" s="5" t="s">
        <v>51</v>
      </c>
      <c r="K165" s="17">
        <v>0.75</v>
      </c>
      <c r="L165" s="17" t="s">
        <v>472</v>
      </c>
      <c r="M165" s="12">
        <v>600</v>
      </c>
      <c r="N165" s="12">
        <f>Tabell2[[#This Row],[Salgspris]]*Tabell2[[#This Row],[Totalt antall]]</f>
        <v>209700</v>
      </c>
      <c r="O165" s="5">
        <v>240</v>
      </c>
      <c r="P165" s="5">
        <v>60</v>
      </c>
      <c r="Q165" s="5">
        <v>48</v>
      </c>
      <c r="R165" s="5">
        <v>60</v>
      </c>
      <c r="S165" s="5">
        <v>60</v>
      </c>
      <c r="T165" s="5">
        <v>48</v>
      </c>
      <c r="U165" s="5">
        <v>48</v>
      </c>
      <c r="V165" s="5">
        <v>36</v>
      </c>
      <c r="W165" s="9"/>
      <c r="X165" s="10" t="s">
        <v>43</v>
      </c>
    </row>
    <row r="166" spans="2:24" ht="47.45" customHeight="1">
      <c r="B166" s="13">
        <v>11771805</v>
      </c>
      <c r="C166" s="13" t="s">
        <v>455</v>
      </c>
      <c r="D166" s="13" t="s">
        <v>435</v>
      </c>
      <c r="E166" s="13">
        <v>2018</v>
      </c>
      <c r="F166" s="13" t="s">
        <v>87</v>
      </c>
      <c r="G166" s="13" t="s">
        <v>419</v>
      </c>
      <c r="H166" s="13" t="s">
        <v>424</v>
      </c>
      <c r="I166" s="13" t="s">
        <v>436</v>
      </c>
      <c r="J166" s="5" t="s">
        <v>51</v>
      </c>
      <c r="K166" s="17">
        <v>1.5</v>
      </c>
      <c r="L166" s="17" t="s">
        <v>473</v>
      </c>
      <c r="M166" s="12">
        <v>60</v>
      </c>
      <c r="N166" s="12">
        <f>Tabell2[[#This Row],[Salgspris]]*Tabell2[[#This Row],[Totalt antall]]</f>
        <v>43830</v>
      </c>
      <c r="O166" s="5">
        <v>24</v>
      </c>
      <c r="P166" s="5">
        <v>6</v>
      </c>
      <c r="Q166" s="5">
        <v>6</v>
      </c>
      <c r="R166" s="5">
        <v>6</v>
      </c>
      <c r="S166" s="5">
        <v>6</v>
      </c>
      <c r="T166" s="5">
        <v>6</v>
      </c>
      <c r="U166" s="5">
        <v>6</v>
      </c>
      <c r="V166" s="5"/>
      <c r="W166" s="9"/>
      <c r="X166" s="10" t="s">
        <v>348</v>
      </c>
    </row>
    <row r="167" spans="2:24" ht="47.45" customHeight="1">
      <c r="B167" s="13">
        <v>11771907</v>
      </c>
      <c r="C167" s="13" t="s">
        <v>455</v>
      </c>
      <c r="D167" s="13" t="s">
        <v>435</v>
      </c>
      <c r="E167" s="13">
        <v>2018</v>
      </c>
      <c r="F167" s="13" t="s">
        <v>87</v>
      </c>
      <c r="G167" s="13" t="s">
        <v>419</v>
      </c>
      <c r="H167" s="13" t="s">
        <v>424</v>
      </c>
      <c r="I167" s="13" t="s">
        <v>436</v>
      </c>
      <c r="J167" s="5" t="s">
        <v>51</v>
      </c>
      <c r="K167" s="17">
        <v>3</v>
      </c>
      <c r="L167" s="17" t="s">
        <v>474</v>
      </c>
      <c r="M167" s="12">
        <v>6</v>
      </c>
      <c r="N167" s="12">
        <f>Tabell2[[#This Row],[Salgspris]]*Tabell2[[#This Row],[Totalt antall]]</f>
        <v>10099.799999999999</v>
      </c>
      <c r="O167" s="5">
        <v>3</v>
      </c>
      <c r="P167" s="5">
        <v>1</v>
      </c>
      <c r="Q167" s="5"/>
      <c r="R167" s="5">
        <v>1</v>
      </c>
      <c r="S167" s="5">
        <v>1</v>
      </c>
      <c r="T167" s="5"/>
      <c r="U167" s="5"/>
      <c r="V167" s="5"/>
      <c r="W167" s="21"/>
      <c r="X167" s="10" t="s">
        <v>162</v>
      </c>
    </row>
    <row r="168" spans="2:24" ht="47.45" customHeight="1">
      <c r="B168" s="13">
        <v>11773501</v>
      </c>
      <c r="C168" s="13" t="s">
        <v>455</v>
      </c>
      <c r="D168" s="13" t="s">
        <v>476</v>
      </c>
      <c r="E168" s="13">
        <v>2018</v>
      </c>
      <c r="F168" s="13" t="s">
        <v>87</v>
      </c>
      <c r="G168" s="13" t="s">
        <v>419</v>
      </c>
      <c r="H168" s="13" t="s">
        <v>424</v>
      </c>
      <c r="J168" s="5" t="s">
        <v>51</v>
      </c>
      <c r="K168" s="17">
        <v>0.75</v>
      </c>
      <c r="L168" s="17" t="s">
        <v>477</v>
      </c>
      <c r="M168" s="12">
        <v>240</v>
      </c>
      <c r="N168" s="12">
        <f>Tabell2[[#This Row],[Salgspris]]*Tabell2[[#This Row],[Totalt antall]]</f>
        <v>66312</v>
      </c>
      <c r="O168" s="5">
        <v>96</v>
      </c>
      <c r="P168" s="5">
        <v>30</v>
      </c>
      <c r="Q168" s="5">
        <v>18</v>
      </c>
      <c r="R168" s="5">
        <v>24</v>
      </c>
      <c r="S168" s="5">
        <v>24</v>
      </c>
      <c r="T168" s="5">
        <v>18</v>
      </c>
      <c r="U168" s="5">
        <v>18</v>
      </c>
      <c r="V168" s="5">
        <v>12</v>
      </c>
      <c r="W168" s="21"/>
      <c r="X168" s="10"/>
    </row>
    <row r="169" spans="2:24" ht="47.45" customHeight="1">
      <c r="B169" s="13">
        <v>11773605</v>
      </c>
      <c r="C169" s="13" t="s">
        <v>455</v>
      </c>
      <c r="D169" s="13" t="s">
        <v>476</v>
      </c>
      <c r="E169" s="13">
        <v>2018</v>
      </c>
      <c r="F169" s="13" t="s">
        <v>87</v>
      </c>
      <c r="G169" s="13" t="s">
        <v>419</v>
      </c>
      <c r="H169" s="13" t="s">
        <v>424</v>
      </c>
      <c r="J169" s="5" t="s">
        <v>51</v>
      </c>
      <c r="K169" s="17">
        <v>1.5</v>
      </c>
      <c r="L169" s="17" t="s">
        <v>478</v>
      </c>
      <c r="M169" s="12">
        <v>12</v>
      </c>
      <c r="N169" s="12">
        <f>Tabell2[[#This Row],[Salgspris]]*Tabell2[[#This Row],[Totalt antall]]</f>
        <v>6882</v>
      </c>
      <c r="O169" s="5">
        <v>6</v>
      </c>
      <c r="P169" s="5">
        <v>1</v>
      </c>
      <c r="Q169" s="5">
        <v>1</v>
      </c>
      <c r="R169" s="5">
        <v>1</v>
      </c>
      <c r="S169" s="5">
        <v>1</v>
      </c>
      <c r="T169" s="5">
        <v>1</v>
      </c>
      <c r="U169" s="5">
        <v>1</v>
      </c>
      <c r="V169" s="5"/>
      <c r="W169" s="9"/>
      <c r="X169" s="10"/>
    </row>
    <row r="170" spans="2:24" ht="47.45" customHeight="1">
      <c r="B170" s="13">
        <v>11773101</v>
      </c>
      <c r="C170" s="13" t="s">
        <v>455</v>
      </c>
      <c r="D170" s="13" t="s">
        <v>479</v>
      </c>
      <c r="E170" s="13">
        <v>2018</v>
      </c>
      <c r="F170" s="13" t="s">
        <v>87</v>
      </c>
      <c r="G170" s="13" t="s">
        <v>419</v>
      </c>
      <c r="H170" s="13" t="s">
        <v>480</v>
      </c>
      <c r="J170" s="5" t="s">
        <v>51</v>
      </c>
      <c r="K170" s="17">
        <v>0.75</v>
      </c>
      <c r="L170" s="17" t="s">
        <v>481</v>
      </c>
      <c r="M170" s="12">
        <v>240</v>
      </c>
      <c r="N170" s="12">
        <f>Tabell2[[#This Row],[Salgspris]]*Tabell2[[#This Row],[Totalt antall]]</f>
        <v>63335.999999999993</v>
      </c>
      <c r="O170" s="5">
        <v>96</v>
      </c>
      <c r="P170" s="5">
        <v>30</v>
      </c>
      <c r="Q170" s="5">
        <v>18</v>
      </c>
      <c r="R170" s="5">
        <v>24</v>
      </c>
      <c r="S170" s="5">
        <v>24</v>
      </c>
      <c r="T170" s="5">
        <v>18</v>
      </c>
      <c r="U170" s="5">
        <v>18</v>
      </c>
      <c r="V170" s="5">
        <v>12</v>
      </c>
      <c r="W170" s="9"/>
      <c r="X170" s="10"/>
    </row>
    <row r="171" spans="2:24" ht="47.45" customHeight="1">
      <c r="B171" s="13">
        <v>11773205</v>
      </c>
      <c r="C171" s="13" t="s">
        <v>455</v>
      </c>
      <c r="D171" s="13" t="s">
        <v>479</v>
      </c>
      <c r="E171" s="13">
        <v>2018</v>
      </c>
      <c r="F171" s="13" t="s">
        <v>87</v>
      </c>
      <c r="G171" s="13" t="s">
        <v>419</v>
      </c>
      <c r="H171" s="13" t="s">
        <v>480</v>
      </c>
      <c r="J171" s="5" t="s">
        <v>51</v>
      </c>
      <c r="K171" s="17">
        <v>1.5</v>
      </c>
      <c r="L171" s="17" t="s">
        <v>482</v>
      </c>
      <c r="M171" s="12">
        <v>12</v>
      </c>
      <c r="N171" s="12">
        <f>Tabell2[[#This Row],[Salgspris]]*Tabell2[[#This Row],[Totalt antall]]</f>
        <v>6585.5999999999995</v>
      </c>
      <c r="O171" s="5">
        <v>6</v>
      </c>
      <c r="P171" s="5">
        <v>1</v>
      </c>
      <c r="Q171" s="5">
        <v>1</v>
      </c>
      <c r="R171" s="5">
        <v>1</v>
      </c>
      <c r="S171" s="5">
        <v>1</v>
      </c>
      <c r="T171" s="5">
        <v>1</v>
      </c>
      <c r="U171" s="5">
        <v>1</v>
      </c>
      <c r="V171" s="5"/>
      <c r="W171" s="21"/>
      <c r="X171" s="10"/>
    </row>
    <row r="172" spans="2:24" ht="47.45" customHeight="1">
      <c r="B172" s="13">
        <v>11773301</v>
      </c>
      <c r="C172" s="13" t="s">
        <v>455</v>
      </c>
      <c r="D172" s="13" t="s">
        <v>483</v>
      </c>
      <c r="E172" s="13">
        <v>2018</v>
      </c>
      <c r="F172" s="13" t="s">
        <v>87</v>
      </c>
      <c r="G172" s="13" t="s">
        <v>419</v>
      </c>
      <c r="H172" s="13" t="s">
        <v>420</v>
      </c>
      <c r="J172" s="5" t="s">
        <v>51</v>
      </c>
      <c r="K172" s="17">
        <v>0.75</v>
      </c>
      <c r="L172" s="17" t="s">
        <v>484</v>
      </c>
      <c r="M172" s="12">
        <v>240</v>
      </c>
      <c r="N172" s="12">
        <f>Tabell2[[#This Row],[Salgspris]]*Tabell2[[#This Row],[Totalt antall]]</f>
        <v>63575.999999999993</v>
      </c>
      <c r="O172" s="5">
        <v>96</v>
      </c>
      <c r="P172" s="5">
        <v>30</v>
      </c>
      <c r="Q172" s="5">
        <v>18</v>
      </c>
      <c r="R172" s="5">
        <v>24</v>
      </c>
      <c r="S172" s="5">
        <v>24</v>
      </c>
      <c r="T172" s="5">
        <v>18</v>
      </c>
      <c r="U172" s="5">
        <v>18</v>
      </c>
      <c r="V172" s="5">
        <v>12</v>
      </c>
      <c r="W172" s="21"/>
      <c r="X172" s="10"/>
    </row>
    <row r="173" spans="2:24" ht="47.45" customHeight="1">
      <c r="B173" s="13">
        <v>11773405</v>
      </c>
      <c r="C173" s="13" t="s">
        <v>455</v>
      </c>
      <c r="D173" s="13" t="s">
        <v>483</v>
      </c>
      <c r="E173" s="13">
        <v>2018</v>
      </c>
      <c r="F173" s="13" t="s">
        <v>87</v>
      </c>
      <c r="G173" s="13" t="s">
        <v>419</v>
      </c>
      <c r="H173" s="13" t="s">
        <v>420</v>
      </c>
      <c r="J173" s="5" t="s">
        <v>51</v>
      </c>
      <c r="K173" s="17">
        <v>1.5</v>
      </c>
      <c r="L173" s="17" t="s">
        <v>485</v>
      </c>
      <c r="M173" s="12">
        <v>12</v>
      </c>
      <c r="N173" s="12">
        <f>Tabell2[[#This Row],[Salgspris]]*Tabell2[[#This Row],[Totalt antall]]</f>
        <v>6702</v>
      </c>
      <c r="O173" s="5">
        <v>6</v>
      </c>
      <c r="P173" s="5">
        <v>1</v>
      </c>
      <c r="Q173" s="5">
        <v>1</v>
      </c>
      <c r="R173" s="5">
        <v>1</v>
      </c>
      <c r="S173" s="5">
        <v>1</v>
      </c>
      <c r="T173" s="5">
        <v>1</v>
      </c>
      <c r="U173" s="5">
        <v>1</v>
      </c>
      <c r="V173" s="5"/>
      <c r="W173" s="9"/>
      <c r="X173" s="10"/>
    </row>
    <row r="174" spans="2:24" ht="47.45" customHeight="1">
      <c r="B174" s="13">
        <v>11779701</v>
      </c>
      <c r="C174" s="13" t="s">
        <v>486</v>
      </c>
      <c r="D174" s="13" t="s">
        <v>487</v>
      </c>
      <c r="E174" s="13">
        <v>2018</v>
      </c>
      <c r="F174" s="13" t="s">
        <v>87</v>
      </c>
      <c r="G174" s="13" t="s">
        <v>419</v>
      </c>
      <c r="H174" s="13" t="s">
        <v>488</v>
      </c>
      <c r="I174" s="13" t="s">
        <v>489</v>
      </c>
      <c r="J174" s="5" t="s">
        <v>51</v>
      </c>
      <c r="K174" s="17">
        <v>0.75</v>
      </c>
      <c r="L174" s="17" t="s">
        <v>490</v>
      </c>
      <c r="M174" s="12">
        <v>120</v>
      </c>
      <c r="N174" s="12">
        <f>Tabell2[[#This Row],[Salgspris]]*Tabell2[[#This Row],[Totalt antall]]</f>
        <v>77964</v>
      </c>
      <c r="O174" s="5">
        <v>36</v>
      </c>
      <c r="P174" s="5">
        <v>12</v>
      </c>
      <c r="Q174" s="5">
        <v>12</v>
      </c>
      <c r="R174" s="5">
        <v>12</v>
      </c>
      <c r="S174" s="5">
        <v>12</v>
      </c>
      <c r="T174" s="5">
        <v>12</v>
      </c>
      <c r="U174" s="5">
        <v>12</v>
      </c>
      <c r="V174" s="5">
        <v>12</v>
      </c>
      <c r="W174" s="9"/>
      <c r="X174" s="10"/>
    </row>
    <row r="175" spans="2:24" ht="47.45" customHeight="1">
      <c r="B175" s="13">
        <v>11778201</v>
      </c>
      <c r="C175" s="13" t="s">
        <v>491</v>
      </c>
      <c r="D175" s="13" t="s">
        <v>492</v>
      </c>
      <c r="E175" s="13">
        <v>2018</v>
      </c>
      <c r="F175" s="13" t="s">
        <v>87</v>
      </c>
      <c r="G175" s="13" t="s">
        <v>419</v>
      </c>
      <c r="H175" s="13" t="s">
        <v>493</v>
      </c>
      <c r="I175" s="13" t="s">
        <v>494</v>
      </c>
      <c r="J175" s="5" t="s">
        <v>51</v>
      </c>
      <c r="K175" s="17">
        <v>0.75</v>
      </c>
      <c r="L175" s="17" t="s">
        <v>495</v>
      </c>
      <c r="M175" s="12">
        <v>60</v>
      </c>
      <c r="N175" s="12">
        <f>Tabell2[[#This Row],[Salgspris]]*Tabell2[[#This Row],[Totalt antall]]</f>
        <v>28266</v>
      </c>
      <c r="O175" s="5">
        <v>24</v>
      </c>
      <c r="P175" s="5">
        <v>6</v>
      </c>
      <c r="Q175" s="5">
        <v>3</v>
      </c>
      <c r="R175" s="5">
        <v>6</v>
      </c>
      <c r="S175" s="5">
        <v>12</v>
      </c>
      <c r="T175" s="5">
        <v>6</v>
      </c>
      <c r="U175" s="5">
        <v>3</v>
      </c>
      <c r="V175" s="5"/>
      <c r="W175" s="9"/>
      <c r="X175" s="10"/>
    </row>
    <row r="176" spans="2:24" ht="47.45" customHeight="1">
      <c r="B176" s="13">
        <v>11775801</v>
      </c>
      <c r="C176" s="13" t="s">
        <v>496</v>
      </c>
      <c r="D176" s="13" t="s">
        <v>456</v>
      </c>
      <c r="E176" s="13">
        <v>2018</v>
      </c>
      <c r="F176" s="13" t="s">
        <v>87</v>
      </c>
      <c r="G176" s="13" t="s">
        <v>419</v>
      </c>
      <c r="H176" s="13" t="s">
        <v>420</v>
      </c>
      <c r="I176" s="13" t="s">
        <v>457</v>
      </c>
      <c r="J176" s="5" t="s">
        <v>51</v>
      </c>
      <c r="K176" s="17">
        <v>0.75</v>
      </c>
      <c r="L176" s="17" t="s">
        <v>497</v>
      </c>
      <c r="M176" s="12">
        <v>60</v>
      </c>
      <c r="N176" s="12">
        <f>Tabell2[[#This Row],[Salgspris]]*Tabell2[[#This Row],[Totalt antall]]</f>
        <v>27570</v>
      </c>
      <c r="O176" s="5">
        <v>24</v>
      </c>
      <c r="P176" s="5">
        <v>6</v>
      </c>
      <c r="Q176" s="5">
        <v>6</v>
      </c>
      <c r="R176" s="5">
        <v>6</v>
      </c>
      <c r="S176" s="5">
        <v>6</v>
      </c>
      <c r="T176" s="5">
        <v>6</v>
      </c>
      <c r="U176" s="5">
        <v>6</v>
      </c>
      <c r="V176" s="5"/>
      <c r="W176" s="9"/>
      <c r="X176" s="10"/>
    </row>
    <row r="177" spans="2:24" ht="47.45" customHeight="1">
      <c r="B177" s="13">
        <v>11775701</v>
      </c>
      <c r="C177" s="13" t="s">
        <v>496</v>
      </c>
      <c r="D177" s="13" t="s">
        <v>461</v>
      </c>
      <c r="E177" s="13">
        <v>2018</v>
      </c>
      <c r="F177" s="13" t="s">
        <v>87</v>
      </c>
      <c r="G177" s="13" t="s">
        <v>419</v>
      </c>
      <c r="H177" s="13" t="s">
        <v>420</v>
      </c>
      <c r="I177" s="13" t="s">
        <v>462</v>
      </c>
      <c r="J177" s="5" t="s">
        <v>51</v>
      </c>
      <c r="K177" s="17">
        <v>0.75</v>
      </c>
      <c r="L177" s="17" t="s">
        <v>498</v>
      </c>
      <c r="M177" s="12">
        <v>42</v>
      </c>
      <c r="N177" s="12">
        <f>Tabell2[[#This Row],[Salgspris]]*Tabell2[[#This Row],[Totalt antall]]</f>
        <v>19530</v>
      </c>
      <c r="O177" s="5">
        <v>18</v>
      </c>
      <c r="P177" s="5">
        <v>3</v>
      </c>
      <c r="Q177" s="5">
        <v>3</v>
      </c>
      <c r="R177" s="5">
        <v>6</v>
      </c>
      <c r="S177" s="5">
        <v>6</v>
      </c>
      <c r="T177" s="5">
        <v>3</v>
      </c>
      <c r="U177" s="5">
        <v>3</v>
      </c>
      <c r="V177" s="5"/>
      <c r="W177" s="9"/>
      <c r="X177" s="10"/>
    </row>
    <row r="178" spans="2:24" ht="47.45" customHeight="1">
      <c r="B178" s="13">
        <v>11775501</v>
      </c>
      <c r="C178" s="13" t="s">
        <v>496</v>
      </c>
      <c r="D178" s="13" t="s">
        <v>418</v>
      </c>
      <c r="E178" s="13">
        <v>2018</v>
      </c>
      <c r="F178" s="13" t="s">
        <v>87</v>
      </c>
      <c r="G178" s="13" t="s">
        <v>419</v>
      </c>
      <c r="H178" s="13" t="s">
        <v>420</v>
      </c>
      <c r="I178" s="13" t="s">
        <v>421</v>
      </c>
      <c r="J178" s="5" t="s">
        <v>51</v>
      </c>
      <c r="K178" s="17">
        <v>0.75</v>
      </c>
      <c r="L178" s="17" t="s">
        <v>335</v>
      </c>
      <c r="M178" s="12">
        <v>360</v>
      </c>
      <c r="N178" s="12">
        <f>Tabell2[[#This Row],[Salgspris]]*Tabell2[[#This Row],[Totalt antall]]</f>
        <v>107963.99999999999</v>
      </c>
      <c r="O178" s="5">
        <v>144</v>
      </c>
      <c r="P178" s="5">
        <v>48</v>
      </c>
      <c r="Q178" s="5">
        <v>24</v>
      </c>
      <c r="R178" s="5">
        <v>36</v>
      </c>
      <c r="S178" s="5">
        <v>48</v>
      </c>
      <c r="T178" s="5">
        <v>24</v>
      </c>
      <c r="U178" s="5">
        <v>24</v>
      </c>
      <c r="V178" s="5">
        <v>12</v>
      </c>
      <c r="W178" s="9"/>
      <c r="X178" s="10"/>
    </row>
    <row r="179" spans="2:24" ht="47.45" customHeight="1">
      <c r="B179" s="13">
        <v>11775901</v>
      </c>
      <c r="C179" s="13" t="s">
        <v>496</v>
      </c>
      <c r="D179" s="13" t="s">
        <v>423</v>
      </c>
      <c r="E179" s="13">
        <v>2018</v>
      </c>
      <c r="F179" s="13" t="s">
        <v>87</v>
      </c>
      <c r="G179" s="13" t="s">
        <v>419</v>
      </c>
      <c r="H179" s="13" t="s">
        <v>424</v>
      </c>
      <c r="I179" s="13" t="s">
        <v>425</v>
      </c>
      <c r="J179" s="5" t="s">
        <v>51</v>
      </c>
      <c r="K179" s="17">
        <v>0.75</v>
      </c>
      <c r="L179" s="17" t="s">
        <v>499</v>
      </c>
      <c r="M179" s="12">
        <v>18</v>
      </c>
      <c r="N179" s="12">
        <f>Tabell2[[#This Row],[Salgspris]]*Tabell2[[#This Row],[Totalt antall]]</f>
        <v>12504.6</v>
      </c>
      <c r="O179" s="5">
        <v>9</v>
      </c>
      <c r="P179" s="5">
        <v>3</v>
      </c>
      <c r="Q179" s="5"/>
      <c r="R179" s="5">
        <v>3</v>
      </c>
      <c r="S179" s="5">
        <v>3</v>
      </c>
      <c r="T179" s="5"/>
      <c r="U179" s="5"/>
      <c r="V179" s="5"/>
      <c r="W179" s="9"/>
      <c r="X179" s="10"/>
    </row>
    <row r="180" spans="2:24" ht="47.45" customHeight="1">
      <c r="B180" s="13">
        <v>11776001</v>
      </c>
      <c r="C180" s="13" t="s">
        <v>496</v>
      </c>
      <c r="D180" s="13" t="s">
        <v>428</v>
      </c>
      <c r="E180" s="13">
        <v>2018</v>
      </c>
      <c r="F180" s="13" t="s">
        <v>87</v>
      </c>
      <c r="G180" s="13" t="s">
        <v>419</v>
      </c>
      <c r="H180" s="13" t="s">
        <v>424</v>
      </c>
      <c r="I180" s="13" t="s">
        <v>429</v>
      </c>
      <c r="J180" s="5" t="s">
        <v>51</v>
      </c>
      <c r="K180" s="17">
        <v>0.75</v>
      </c>
      <c r="L180" s="17" t="s">
        <v>500</v>
      </c>
      <c r="M180" s="12">
        <v>84</v>
      </c>
      <c r="N180" s="12">
        <f>Tabell2[[#This Row],[Salgspris]]*Tabell2[[#This Row],[Totalt antall]]</f>
        <v>72214.8</v>
      </c>
      <c r="O180" s="5">
        <v>36</v>
      </c>
      <c r="P180" s="5">
        <v>6</v>
      </c>
      <c r="Q180" s="5">
        <v>6</v>
      </c>
      <c r="R180" s="5">
        <v>6</v>
      </c>
      <c r="S180" s="5">
        <v>12</v>
      </c>
      <c r="T180" s="5">
        <v>6</v>
      </c>
      <c r="U180" s="5">
        <v>6</v>
      </c>
      <c r="V180" s="5">
        <v>6</v>
      </c>
      <c r="W180" s="9"/>
      <c r="X180" s="10"/>
    </row>
    <row r="181" spans="2:24" ht="47.45" customHeight="1">
      <c r="B181" s="13">
        <v>11775601</v>
      </c>
      <c r="C181" s="13" t="s">
        <v>496</v>
      </c>
      <c r="D181" s="13" t="s">
        <v>433</v>
      </c>
      <c r="E181" s="13">
        <v>2018</v>
      </c>
      <c r="F181" s="13" t="s">
        <v>87</v>
      </c>
      <c r="G181" s="13" t="s">
        <v>419</v>
      </c>
      <c r="H181" s="13" t="s">
        <v>424</v>
      </c>
      <c r="I181" s="13" t="s">
        <v>434</v>
      </c>
      <c r="J181" s="5" t="s">
        <v>51</v>
      </c>
      <c r="K181" s="17">
        <v>0.75</v>
      </c>
      <c r="L181" s="17" t="s">
        <v>501</v>
      </c>
      <c r="M181" s="12">
        <v>36</v>
      </c>
      <c r="N181" s="12">
        <f>Tabell2[[#This Row],[Salgspris]]*Tabell2[[#This Row],[Totalt antall]]</f>
        <v>25016.399999999998</v>
      </c>
      <c r="O181" s="5">
        <v>18</v>
      </c>
      <c r="P181" s="5">
        <v>3</v>
      </c>
      <c r="Q181" s="5">
        <v>3</v>
      </c>
      <c r="R181" s="5">
        <v>3</v>
      </c>
      <c r="S181" s="5">
        <v>3</v>
      </c>
      <c r="T181" s="5">
        <v>3</v>
      </c>
      <c r="U181" s="5">
        <v>3</v>
      </c>
      <c r="V181" s="5"/>
      <c r="W181" s="9"/>
      <c r="X181" s="10"/>
    </row>
    <row r="182" spans="2:24" ht="47.45" customHeight="1">
      <c r="B182" s="13">
        <v>11430201</v>
      </c>
      <c r="C182" s="13" t="s">
        <v>496</v>
      </c>
      <c r="D182" s="13" t="s">
        <v>502</v>
      </c>
      <c r="E182" s="13">
        <v>2017</v>
      </c>
      <c r="F182" s="13" t="s">
        <v>87</v>
      </c>
      <c r="G182" s="13" t="s">
        <v>419</v>
      </c>
      <c r="J182" s="5" t="s">
        <v>51</v>
      </c>
      <c r="K182" s="17">
        <v>0.75</v>
      </c>
      <c r="L182" s="17" t="s">
        <v>503</v>
      </c>
      <c r="M182" s="12">
        <v>18</v>
      </c>
      <c r="N182" s="12">
        <f>Tabell2[[#This Row],[Salgspris]]*Tabell2[[#This Row],[Totalt antall]]</f>
        <v>17442</v>
      </c>
      <c r="O182" s="5">
        <v>9</v>
      </c>
      <c r="P182" s="5">
        <v>2</v>
      </c>
      <c r="Q182" s="5">
        <v>1</v>
      </c>
      <c r="R182" s="5">
        <v>1</v>
      </c>
      <c r="S182" s="5">
        <v>2</v>
      </c>
      <c r="T182" s="5">
        <v>1</v>
      </c>
      <c r="U182" s="5">
        <v>1</v>
      </c>
      <c r="V182" s="5">
        <v>1</v>
      </c>
      <c r="W182" s="21"/>
      <c r="X182" s="10"/>
    </row>
    <row r="183" spans="2:24" ht="47.45" customHeight="1">
      <c r="B183" s="13">
        <v>11759701</v>
      </c>
      <c r="C183" s="13" t="s">
        <v>504</v>
      </c>
      <c r="D183" s="13" t="s">
        <v>505</v>
      </c>
      <c r="E183" s="13">
        <v>2017</v>
      </c>
      <c r="F183" s="13" t="s">
        <v>87</v>
      </c>
      <c r="G183" s="13" t="s">
        <v>506</v>
      </c>
      <c r="H183" s="13" t="s">
        <v>507</v>
      </c>
      <c r="I183" s="13" t="s">
        <v>508</v>
      </c>
      <c r="J183" s="5" t="s">
        <v>28</v>
      </c>
      <c r="K183" s="17">
        <v>0.75</v>
      </c>
      <c r="L183" s="17" t="s">
        <v>509</v>
      </c>
      <c r="M183" s="12">
        <v>12</v>
      </c>
      <c r="N183" s="12">
        <f>Tabell2[[#This Row],[Salgspris]]*Tabell2[[#This Row],[Totalt antall]]</f>
        <v>7800</v>
      </c>
      <c r="O183" s="5">
        <v>6</v>
      </c>
      <c r="P183" s="5"/>
      <c r="Q183" s="5">
        <v>2</v>
      </c>
      <c r="R183" s="5"/>
      <c r="S183" s="5"/>
      <c r="T183" s="5">
        <v>2</v>
      </c>
      <c r="U183" s="5">
        <v>2</v>
      </c>
      <c r="V183" s="5"/>
      <c r="W183" s="9"/>
      <c r="X183" s="10" t="s">
        <v>162</v>
      </c>
    </row>
    <row r="184" spans="2:24" ht="47.45" customHeight="1">
      <c r="B184" s="13">
        <v>11759601</v>
      </c>
      <c r="C184" s="13" t="s">
        <v>504</v>
      </c>
      <c r="D184" s="13" t="s">
        <v>510</v>
      </c>
      <c r="E184" s="13">
        <v>2017</v>
      </c>
      <c r="F184" s="13" t="s">
        <v>87</v>
      </c>
      <c r="G184" s="13" t="s">
        <v>506</v>
      </c>
      <c r="H184" s="13" t="s">
        <v>511</v>
      </c>
      <c r="I184" s="13" t="s">
        <v>512</v>
      </c>
      <c r="J184" s="5" t="s">
        <v>28</v>
      </c>
      <c r="K184" s="17">
        <v>0.75</v>
      </c>
      <c r="L184" s="17" t="s">
        <v>513</v>
      </c>
      <c r="M184" s="12">
        <v>12</v>
      </c>
      <c r="N184" s="12">
        <f>Tabell2[[#This Row],[Salgspris]]*Tabell2[[#This Row],[Totalt antall]]</f>
        <v>9420</v>
      </c>
      <c r="O184" s="5">
        <v>6</v>
      </c>
      <c r="P184" s="5">
        <v>2</v>
      </c>
      <c r="Q184" s="5"/>
      <c r="R184" s="5">
        <v>2</v>
      </c>
      <c r="S184" s="5">
        <v>2</v>
      </c>
      <c r="T184" s="5"/>
      <c r="U184" s="5"/>
      <c r="V184" s="5"/>
      <c r="W184" s="9"/>
      <c r="X184" s="10" t="s">
        <v>162</v>
      </c>
    </row>
    <row r="185" spans="2:24" ht="47.45" customHeight="1">
      <c r="B185" s="13">
        <v>11759901</v>
      </c>
      <c r="C185" s="13" t="s">
        <v>504</v>
      </c>
      <c r="D185" s="13" t="s">
        <v>514</v>
      </c>
      <c r="E185" s="13">
        <v>2017</v>
      </c>
      <c r="F185" s="13" t="s">
        <v>87</v>
      </c>
      <c r="G185" s="13" t="s">
        <v>506</v>
      </c>
      <c r="J185" s="5" t="s">
        <v>28</v>
      </c>
      <c r="K185" s="17">
        <v>0.75</v>
      </c>
      <c r="L185" s="17" t="s">
        <v>515</v>
      </c>
      <c r="M185" s="12">
        <v>72</v>
      </c>
      <c r="N185" s="12">
        <f>Tabell2[[#This Row],[Salgspris]]*Tabell2[[#This Row],[Totalt antall]]</f>
        <v>30600</v>
      </c>
      <c r="O185" s="5">
        <v>30</v>
      </c>
      <c r="P185" s="5">
        <v>6</v>
      </c>
      <c r="Q185" s="5">
        <v>6</v>
      </c>
      <c r="R185" s="5">
        <v>6</v>
      </c>
      <c r="S185" s="5">
        <v>6</v>
      </c>
      <c r="T185" s="5">
        <v>6</v>
      </c>
      <c r="U185" s="5">
        <v>6</v>
      </c>
      <c r="V185" s="5">
        <v>6</v>
      </c>
      <c r="W185" s="9"/>
      <c r="X185" s="10" t="s">
        <v>162</v>
      </c>
    </row>
    <row r="186" spans="2:24" ht="47.45" customHeight="1">
      <c r="B186" s="13">
        <v>11759201</v>
      </c>
      <c r="C186" s="13" t="s">
        <v>378</v>
      </c>
      <c r="D186" s="13" t="s">
        <v>516</v>
      </c>
      <c r="E186" s="13">
        <v>2018</v>
      </c>
      <c r="F186" s="13" t="s">
        <v>87</v>
      </c>
      <c r="G186" s="13" t="s">
        <v>506</v>
      </c>
      <c r="H186" s="13" t="s">
        <v>517</v>
      </c>
      <c r="J186" s="5" t="s">
        <v>51</v>
      </c>
      <c r="K186" s="17">
        <v>0.75</v>
      </c>
      <c r="L186" s="17" t="s">
        <v>518</v>
      </c>
      <c r="M186" s="12">
        <v>600</v>
      </c>
      <c r="N186" s="12">
        <f>Tabell2[[#This Row],[Salgspris]]*Tabell2[[#This Row],[Totalt antall]]</f>
        <v>138000</v>
      </c>
      <c r="O186" s="5">
        <v>108</v>
      </c>
      <c r="P186" s="5">
        <v>84</v>
      </c>
      <c r="Q186" s="5">
        <v>72</v>
      </c>
      <c r="R186" s="5">
        <v>84</v>
      </c>
      <c r="S186" s="5">
        <v>84</v>
      </c>
      <c r="T186" s="5">
        <v>72</v>
      </c>
      <c r="U186" s="5">
        <v>72</v>
      </c>
      <c r="V186" s="5">
        <v>24</v>
      </c>
      <c r="W186" s="9"/>
      <c r="X186" s="10"/>
    </row>
    <row r="187" spans="2:24" ht="47.45" customHeight="1">
      <c r="B187" s="13">
        <v>11759401</v>
      </c>
      <c r="C187" s="13" t="s">
        <v>378</v>
      </c>
      <c r="D187" s="13" t="s">
        <v>519</v>
      </c>
      <c r="E187" s="13">
        <v>2018</v>
      </c>
      <c r="F187" s="13" t="s">
        <v>87</v>
      </c>
      <c r="G187" s="13" t="s">
        <v>506</v>
      </c>
      <c r="H187" s="13" t="s">
        <v>517</v>
      </c>
      <c r="I187" s="13" t="s">
        <v>520</v>
      </c>
      <c r="J187" s="5" t="s">
        <v>51</v>
      </c>
      <c r="K187" s="17">
        <v>0.75</v>
      </c>
      <c r="L187" s="17" t="s">
        <v>72</v>
      </c>
      <c r="M187" s="12">
        <v>132</v>
      </c>
      <c r="N187" s="12">
        <f>Tabell2[[#This Row],[Salgspris]]*Tabell2[[#This Row],[Totalt antall]]</f>
        <v>46332</v>
      </c>
      <c r="O187" s="5">
        <v>48</v>
      </c>
      <c r="P187" s="5">
        <v>12</v>
      </c>
      <c r="Q187" s="5">
        <v>12</v>
      </c>
      <c r="R187" s="5">
        <v>12</v>
      </c>
      <c r="S187" s="5">
        <v>12</v>
      </c>
      <c r="T187" s="5">
        <v>12</v>
      </c>
      <c r="U187" s="5">
        <v>12</v>
      </c>
      <c r="V187" s="5">
        <v>12</v>
      </c>
      <c r="W187" s="9"/>
      <c r="X187" s="10"/>
    </row>
    <row r="188" spans="2:24" ht="47.45" customHeight="1">
      <c r="B188" s="13">
        <v>11780401</v>
      </c>
      <c r="C188" s="13" t="s">
        <v>521</v>
      </c>
      <c r="D188" s="13" t="s">
        <v>522</v>
      </c>
      <c r="E188" s="13">
        <v>2018</v>
      </c>
      <c r="F188" s="13" t="s">
        <v>87</v>
      </c>
      <c r="G188" s="13" t="s">
        <v>506</v>
      </c>
      <c r="J188" s="5" t="s">
        <v>51</v>
      </c>
      <c r="K188" s="17">
        <v>0.75</v>
      </c>
      <c r="L188" s="17" t="s">
        <v>523</v>
      </c>
      <c r="M188" s="12">
        <v>12</v>
      </c>
      <c r="N188" s="12">
        <f>Tabell2[[#This Row],[Salgspris]]*Tabell2[[#This Row],[Totalt antall]]</f>
        <v>15135.599999999999</v>
      </c>
      <c r="O188" s="5">
        <v>5</v>
      </c>
      <c r="P188" s="5">
        <v>1</v>
      </c>
      <c r="Q188" s="5">
        <v>1</v>
      </c>
      <c r="R188" s="5">
        <v>1</v>
      </c>
      <c r="S188" s="5">
        <v>1</v>
      </c>
      <c r="T188" s="5">
        <v>1</v>
      </c>
      <c r="U188" s="5">
        <v>1</v>
      </c>
      <c r="V188" s="5">
        <v>1</v>
      </c>
      <c r="W188" s="9"/>
      <c r="X188" s="10" t="s">
        <v>162</v>
      </c>
    </row>
    <row r="189" spans="2:24" ht="47.45" customHeight="1">
      <c r="B189" s="13">
        <v>11779401</v>
      </c>
      <c r="C189" s="13" t="s">
        <v>524</v>
      </c>
      <c r="D189" s="13" t="s">
        <v>525</v>
      </c>
      <c r="E189" s="13">
        <v>2018</v>
      </c>
      <c r="F189" s="13" t="s">
        <v>87</v>
      </c>
      <c r="G189" s="13" t="s">
        <v>506</v>
      </c>
      <c r="H189" s="13" t="s">
        <v>526</v>
      </c>
      <c r="I189" s="13" t="s">
        <v>527</v>
      </c>
      <c r="J189" s="5" t="s">
        <v>51</v>
      </c>
      <c r="K189" s="17">
        <v>0.75</v>
      </c>
      <c r="L189" s="17" t="s">
        <v>528</v>
      </c>
      <c r="M189" s="12">
        <v>12</v>
      </c>
      <c r="N189" s="12">
        <f>Tabell2[[#This Row],[Salgspris]]*Tabell2[[#This Row],[Totalt antall]]</f>
        <v>47550</v>
      </c>
      <c r="O189" s="5">
        <v>5</v>
      </c>
      <c r="P189" s="5">
        <v>1</v>
      </c>
      <c r="Q189" s="5">
        <v>1</v>
      </c>
      <c r="R189" s="5">
        <v>1</v>
      </c>
      <c r="S189" s="5">
        <v>1</v>
      </c>
      <c r="T189" s="5">
        <v>1</v>
      </c>
      <c r="U189" s="5">
        <v>1</v>
      </c>
      <c r="V189" s="5">
        <v>1</v>
      </c>
      <c r="W189" s="9"/>
      <c r="X189" s="10" t="s">
        <v>162</v>
      </c>
    </row>
    <row r="190" spans="2:24" ht="47.45" customHeight="1">
      <c r="B190" s="13">
        <v>11779201</v>
      </c>
      <c r="C190" s="13" t="s">
        <v>524</v>
      </c>
      <c r="D190" s="13" t="s">
        <v>529</v>
      </c>
      <c r="E190" s="13">
        <v>2018</v>
      </c>
      <c r="F190" s="13" t="s">
        <v>87</v>
      </c>
      <c r="G190" s="13" t="s">
        <v>506</v>
      </c>
      <c r="H190" s="13" t="s">
        <v>526</v>
      </c>
      <c r="I190" s="13" t="s">
        <v>530</v>
      </c>
      <c r="J190" s="5" t="s">
        <v>51</v>
      </c>
      <c r="K190" s="17">
        <v>0.75</v>
      </c>
      <c r="L190" s="17" t="s">
        <v>531</v>
      </c>
      <c r="M190" s="12">
        <v>60</v>
      </c>
      <c r="N190" s="12">
        <f>Tabell2[[#This Row],[Salgspris]]*Tabell2[[#This Row],[Totalt antall]]</f>
        <v>31500</v>
      </c>
      <c r="O190" s="5">
        <v>24</v>
      </c>
      <c r="P190" s="5">
        <v>6</v>
      </c>
      <c r="Q190" s="5">
        <v>6</v>
      </c>
      <c r="R190" s="5">
        <v>6</v>
      </c>
      <c r="S190" s="5">
        <v>6</v>
      </c>
      <c r="T190" s="5">
        <v>6</v>
      </c>
      <c r="U190" s="5">
        <v>6</v>
      </c>
      <c r="V190" s="5"/>
      <c r="W190" s="9"/>
      <c r="X190" s="10"/>
    </row>
    <row r="191" spans="2:24" ht="47.45" customHeight="1">
      <c r="B191" s="13">
        <v>11779501</v>
      </c>
      <c r="C191" s="13" t="s">
        <v>524</v>
      </c>
      <c r="D191" s="13" t="s">
        <v>532</v>
      </c>
      <c r="E191" s="13">
        <v>2018</v>
      </c>
      <c r="F191" s="13" t="s">
        <v>87</v>
      </c>
      <c r="G191" s="13" t="s">
        <v>506</v>
      </c>
      <c r="H191" s="13" t="s">
        <v>526</v>
      </c>
      <c r="I191" s="13" t="s">
        <v>533</v>
      </c>
      <c r="J191" s="5" t="s">
        <v>51</v>
      </c>
      <c r="K191" s="17">
        <v>0.75</v>
      </c>
      <c r="L191" s="17" t="s">
        <v>534</v>
      </c>
      <c r="M191" s="12">
        <v>60</v>
      </c>
      <c r="N191" s="12">
        <f>Tabell2[[#This Row],[Salgspris]]*Tabell2[[#This Row],[Totalt antall]]</f>
        <v>42072</v>
      </c>
      <c r="O191" s="5">
        <v>24</v>
      </c>
      <c r="P191" s="5">
        <v>6</v>
      </c>
      <c r="Q191" s="5">
        <v>6</v>
      </c>
      <c r="R191" s="5">
        <v>6</v>
      </c>
      <c r="S191" s="5">
        <v>6</v>
      </c>
      <c r="T191" s="5">
        <v>6</v>
      </c>
      <c r="U191" s="5">
        <v>6</v>
      </c>
      <c r="V191" s="5"/>
      <c r="W191" s="21"/>
      <c r="X191" s="10"/>
    </row>
    <row r="192" spans="2:24" ht="47.45" customHeight="1">
      <c r="B192" s="13">
        <v>11784501</v>
      </c>
      <c r="C192" s="13" t="s">
        <v>535</v>
      </c>
      <c r="D192" s="13" t="s">
        <v>536</v>
      </c>
      <c r="E192" s="13">
        <v>2018</v>
      </c>
      <c r="F192" s="13" t="s">
        <v>87</v>
      </c>
      <c r="G192" s="13" t="s">
        <v>537</v>
      </c>
      <c r="H192" s="13" t="s">
        <v>538</v>
      </c>
      <c r="I192" s="13" t="s">
        <v>539</v>
      </c>
      <c r="J192" s="5" t="s">
        <v>28</v>
      </c>
      <c r="K192" s="17">
        <v>0.75</v>
      </c>
      <c r="L192" s="17" t="s">
        <v>540</v>
      </c>
      <c r="M192" s="12">
        <v>180</v>
      </c>
      <c r="N192" s="12">
        <f>Tabell2[[#This Row],[Salgspris]]*Tabell2[[#This Row],[Totalt antall]]</f>
        <v>45882</v>
      </c>
      <c r="O192" s="5">
        <v>60</v>
      </c>
      <c r="P192" s="5">
        <v>24</v>
      </c>
      <c r="Q192" s="5">
        <v>12</v>
      </c>
      <c r="R192" s="5">
        <v>24</v>
      </c>
      <c r="S192" s="5">
        <v>24</v>
      </c>
      <c r="T192" s="5">
        <v>12</v>
      </c>
      <c r="U192" s="5">
        <v>12</v>
      </c>
      <c r="V192" s="5">
        <v>12</v>
      </c>
      <c r="W192" s="21"/>
      <c r="X192" s="10"/>
    </row>
    <row r="193" spans="2:24" ht="47.45" customHeight="1">
      <c r="B193" s="13">
        <v>11766701</v>
      </c>
      <c r="C193" s="13" t="s">
        <v>541</v>
      </c>
      <c r="D193" s="13" t="s">
        <v>542</v>
      </c>
      <c r="E193" s="13">
        <v>2017</v>
      </c>
      <c r="F193" s="13" t="s">
        <v>543</v>
      </c>
      <c r="G193" s="13" t="s">
        <v>544</v>
      </c>
      <c r="I193" s="13" t="s">
        <v>545</v>
      </c>
      <c r="J193" s="5" t="s">
        <v>51</v>
      </c>
      <c r="K193" s="17">
        <v>0.75</v>
      </c>
      <c r="L193" s="17" t="s">
        <v>546</v>
      </c>
      <c r="M193" s="12">
        <v>180</v>
      </c>
      <c r="N193" s="12">
        <f>Tabell2[[#This Row],[Salgspris]]*Tabell2[[#This Row],[Totalt antall]]</f>
        <v>71352</v>
      </c>
      <c r="O193" s="5">
        <v>60</v>
      </c>
      <c r="P193" s="5">
        <v>24</v>
      </c>
      <c r="Q193" s="5">
        <v>12</v>
      </c>
      <c r="R193" s="5">
        <v>24</v>
      </c>
      <c r="S193" s="5">
        <v>24</v>
      </c>
      <c r="T193" s="5">
        <v>12</v>
      </c>
      <c r="U193" s="5">
        <v>12</v>
      </c>
      <c r="V193" s="5">
        <v>12</v>
      </c>
      <c r="W193" s="21"/>
      <c r="X193" s="10"/>
    </row>
    <row r="194" spans="2:24" ht="47.45" customHeight="1">
      <c r="B194" s="13">
        <v>11766601</v>
      </c>
      <c r="C194" s="13" t="s">
        <v>541</v>
      </c>
      <c r="D194" s="13" t="s">
        <v>547</v>
      </c>
      <c r="E194" s="13">
        <v>2016</v>
      </c>
      <c r="F194" s="13" t="s">
        <v>543</v>
      </c>
      <c r="G194" s="13" t="s">
        <v>544</v>
      </c>
      <c r="I194" s="13" t="s">
        <v>547</v>
      </c>
      <c r="J194" s="5" t="s">
        <v>51</v>
      </c>
      <c r="K194" s="17">
        <v>0.75</v>
      </c>
      <c r="L194" s="17" t="s">
        <v>548</v>
      </c>
      <c r="M194" s="12">
        <v>12</v>
      </c>
      <c r="N194" s="12">
        <f>Tabell2[[#This Row],[Salgspris]]*Tabell2[[#This Row],[Totalt antall]]</f>
        <v>17820</v>
      </c>
      <c r="O194" s="5">
        <v>7</v>
      </c>
      <c r="P194" s="5">
        <v>1</v>
      </c>
      <c r="Q194" s="5"/>
      <c r="R194" s="5">
        <v>1</v>
      </c>
      <c r="S194" s="5">
        <v>1</v>
      </c>
      <c r="T194" s="5"/>
      <c r="U194" s="5">
        <v>1</v>
      </c>
      <c r="V194" s="5">
        <v>1</v>
      </c>
      <c r="W194" s="21"/>
      <c r="X194" s="10" t="s">
        <v>162</v>
      </c>
    </row>
    <row r="195" spans="2:24" ht="47.45" customHeight="1">
      <c r="B195" s="13">
        <v>11766901</v>
      </c>
      <c r="C195" s="13" t="s">
        <v>549</v>
      </c>
      <c r="D195" s="13" t="s">
        <v>550</v>
      </c>
      <c r="E195" s="13">
        <v>2016</v>
      </c>
      <c r="F195" s="13" t="s">
        <v>543</v>
      </c>
      <c r="G195" s="13" t="s">
        <v>551</v>
      </c>
      <c r="I195" s="13" t="s">
        <v>552</v>
      </c>
      <c r="J195" s="5" t="s">
        <v>28</v>
      </c>
      <c r="K195" s="17">
        <v>0.75</v>
      </c>
      <c r="L195" s="17" t="s">
        <v>553</v>
      </c>
      <c r="M195" s="12">
        <v>240</v>
      </c>
      <c r="N195" s="12">
        <f>Tabell2[[#This Row],[Salgspris]]*Tabell2[[#This Row],[Totalt antall]]</f>
        <v>86928</v>
      </c>
      <c r="O195" s="5">
        <v>84</v>
      </c>
      <c r="P195" s="5">
        <v>30</v>
      </c>
      <c r="Q195" s="5">
        <v>18</v>
      </c>
      <c r="R195" s="5">
        <v>30</v>
      </c>
      <c r="S195" s="5">
        <v>30</v>
      </c>
      <c r="T195" s="5">
        <v>18</v>
      </c>
      <c r="U195" s="5">
        <v>18</v>
      </c>
      <c r="V195" s="5">
        <v>12</v>
      </c>
      <c r="W195" s="9"/>
      <c r="X195" s="10"/>
    </row>
    <row r="196" spans="2:24" ht="47.45" customHeight="1">
      <c r="B196" s="13">
        <v>11766801</v>
      </c>
      <c r="C196" s="13" t="s">
        <v>549</v>
      </c>
      <c r="D196" s="13" t="s">
        <v>554</v>
      </c>
      <c r="E196" s="13">
        <v>2016</v>
      </c>
      <c r="F196" s="13" t="s">
        <v>543</v>
      </c>
      <c r="G196" s="13" t="s">
        <v>551</v>
      </c>
      <c r="I196" s="13" t="s">
        <v>555</v>
      </c>
      <c r="J196" s="5" t="s">
        <v>28</v>
      </c>
      <c r="K196" s="17">
        <v>0.75</v>
      </c>
      <c r="L196" s="17" t="s">
        <v>556</v>
      </c>
      <c r="M196" s="12">
        <v>120</v>
      </c>
      <c r="N196" s="12">
        <f>Tabell2[[#This Row],[Salgspris]]*Tabell2[[#This Row],[Totalt antall]]</f>
        <v>63395.999999999993</v>
      </c>
      <c r="O196" s="5">
        <v>36</v>
      </c>
      <c r="P196" s="5">
        <v>12</v>
      </c>
      <c r="Q196" s="5">
        <v>12</v>
      </c>
      <c r="R196" s="5">
        <v>12</v>
      </c>
      <c r="S196" s="5">
        <v>12</v>
      </c>
      <c r="T196" s="5">
        <v>12</v>
      </c>
      <c r="U196" s="5">
        <v>12</v>
      </c>
      <c r="V196" s="5">
        <v>12</v>
      </c>
      <c r="W196" s="9"/>
      <c r="X196" s="10"/>
    </row>
    <row r="197" spans="2:24" ht="47.45" customHeight="1">
      <c r="B197" s="13">
        <v>11767001</v>
      </c>
      <c r="C197" s="13" t="s">
        <v>557</v>
      </c>
      <c r="D197" s="13" t="s">
        <v>558</v>
      </c>
      <c r="E197" s="13">
        <v>2016</v>
      </c>
      <c r="F197" s="13" t="s">
        <v>543</v>
      </c>
      <c r="G197" s="13" t="s">
        <v>559</v>
      </c>
      <c r="I197" s="13" t="s">
        <v>560</v>
      </c>
      <c r="J197" s="5" t="s">
        <v>51</v>
      </c>
      <c r="K197" s="17">
        <v>0.75</v>
      </c>
      <c r="L197" s="17" t="s">
        <v>561</v>
      </c>
      <c r="M197" s="12">
        <v>180</v>
      </c>
      <c r="N197" s="12">
        <f>Tabell2[[#This Row],[Salgspris]]*Tabell2[[#This Row],[Totalt antall]]</f>
        <v>95508</v>
      </c>
      <c r="O197" s="5">
        <v>60</v>
      </c>
      <c r="P197" s="5">
        <v>24</v>
      </c>
      <c r="Q197" s="5">
        <v>12</v>
      </c>
      <c r="R197" s="5">
        <v>24</v>
      </c>
      <c r="S197" s="5">
        <v>24</v>
      </c>
      <c r="T197" s="5">
        <v>12</v>
      </c>
      <c r="U197" s="5">
        <v>12</v>
      </c>
      <c r="V197" s="5">
        <v>12</v>
      </c>
      <c r="W197" s="9"/>
      <c r="X197" s="10"/>
    </row>
    <row r="198" spans="2:24" ht="47.45" customHeight="1">
      <c r="B198" s="13">
        <v>11767102</v>
      </c>
      <c r="C198" s="13" t="s">
        <v>557</v>
      </c>
      <c r="D198" s="13" t="s">
        <v>562</v>
      </c>
      <c r="E198" s="13">
        <v>2017</v>
      </c>
      <c r="F198" s="13" t="s">
        <v>543</v>
      </c>
      <c r="G198" s="13" t="s">
        <v>559</v>
      </c>
      <c r="I198" s="13" t="s">
        <v>563</v>
      </c>
      <c r="J198" s="5" t="s">
        <v>51</v>
      </c>
      <c r="K198" s="17">
        <v>0.5</v>
      </c>
      <c r="L198" s="17" t="s">
        <v>564</v>
      </c>
      <c r="M198" s="12">
        <v>180</v>
      </c>
      <c r="N198" s="12">
        <f>Tabell2[[#This Row],[Salgspris]]*Tabell2[[#This Row],[Totalt antall]]</f>
        <v>92393.999999999985</v>
      </c>
      <c r="O198" s="5">
        <v>60</v>
      </c>
      <c r="P198" s="5">
        <v>24</v>
      </c>
      <c r="Q198" s="5">
        <v>12</v>
      </c>
      <c r="R198" s="5">
        <v>24</v>
      </c>
      <c r="S198" s="5">
        <v>24</v>
      </c>
      <c r="T198" s="5">
        <v>12</v>
      </c>
      <c r="U198" s="5">
        <v>12</v>
      </c>
      <c r="V198" s="5">
        <v>12</v>
      </c>
      <c r="W198" s="9"/>
      <c r="X198" s="10"/>
    </row>
    <row r="199" spans="2:24" ht="25.5" customHeight="1">
      <c r="J199" s="22"/>
      <c r="K199" s="18"/>
      <c r="L199" s="18"/>
      <c r="M199" s="15"/>
      <c r="N199" s="23"/>
      <c r="O199" s="5"/>
      <c r="P199" s="5"/>
      <c r="Q199" s="5"/>
      <c r="R199" s="5"/>
      <c r="S199" s="5"/>
      <c r="T199" s="5"/>
      <c r="U199" s="5"/>
      <c r="V199" s="5"/>
      <c r="W199" s="9"/>
      <c r="X199" s="10"/>
    </row>
    <row r="200" spans="2:24" ht="25.5" customHeight="1">
      <c r="M200" s="5"/>
      <c r="N200" s="5"/>
      <c r="O200" s="5"/>
      <c r="P200" s="5"/>
      <c r="Q200" s="5"/>
      <c r="R200" s="5"/>
      <c r="S200" s="5"/>
      <c r="T200" s="5"/>
      <c r="U200" s="13"/>
    </row>
    <row r="201" spans="2:24" ht="25.5" customHeight="1">
      <c r="M201" s="5"/>
      <c r="N201" s="5"/>
      <c r="O201" s="5"/>
      <c r="P201" s="5"/>
      <c r="Q201" s="5"/>
      <c r="R201" s="5"/>
      <c r="S201" s="5"/>
      <c r="T201" s="5"/>
      <c r="U201" s="13"/>
    </row>
    <row r="202" spans="2:24" ht="25.5" customHeight="1">
      <c r="M202" s="5"/>
      <c r="N202" s="5"/>
      <c r="O202" s="5"/>
      <c r="P202" s="5"/>
      <c r="Q202" s="5"/>
      <c r="R202" s="5"/>
      <c r="S202" s="5"/>
      <c r="T202" s="5"/>
      <c r="U202" s="13"/>
    </row>
    <row r="203" spans="2:24" ht="25.5" customHeight="1">
      <c r="M203" s="5"/>
      <c r="N203" s="5"/>
      <c r="O203" s="5"/>
      <c r="P203" s="5"/>
      <c r="Q203" s="5"/>
      <c r="R203" s="5"/>
      <c r="S203" s="5"/>
      <c r="T203" s="5"/>
      <c r="U203" s="13"/>
    </row>
    <row r="204" spans="2:24" ht="25.5" customHeight="1">
      <c r="M204" s="5"/>
      <c r="N204" s="5"/>
      <c r="O204" s="5"/>
      <c r="P204" s="5"/>
      <c r="Q204" s="5"/>
      <c r="R204" s="5"/>
      <c r="S204" s="5"/>
      <c r="T204" s="5"/>
      <c r="U204" s="13"/>
    </row>
    <row r="205" spans="2:24" ht="25.5" customHeight="1">
      <c r="M205" s="5"/>
      <c r="N205" s="5"/>
      <c r="O205" s="5"/>
      <c r="P205" s="5"/>
      <c r="Q205" s="5"/>
      <c r="R205" s="5"/>
      <c r="S205" s="5"/>
      <c r="T205" s="5"/>
      <c r="U205" s="13"/>
    </row>
    <row r="206" spans="2:24" ht="25.5" customHeight="1">
      <c r="M206" s="5"/>
      <c r="N206" s="5"/>
      <c r="O206" s="5"/>
      <c r="P206" s="5"/>
      <c r="Q206" s="5"/>
      <c r="R206" s="5"/>
      <c r="S206" s="5"/>
      <c r="T206" s="5"/>
      <c r="U206" s="13"/>
    </row>
    <row r="207" spans="2:24" ht="25.5" customHeight="1">
      <c r="M207" s="5"/>
      <c r="N207" s="5"/>
      <c r="O207" s="5"/>
      <c r="P207" s="5"/>
      <c r="Q207" s="5"/>
      <c r="R207" s="5"/>
      <c r="S207" s="5"/>
      <c r="T207" s="5"/>
      <c r="U207" s="13"/>
    </row>
    <row r="208" spans="2:24" ht="25.5" customHeight="1">
      <c r="M208" s="5"/>
      <c r="N208" s="5"/>
      <c r="O208" s="5"/>
      <c r="P208" s="5"/>
      <c r="Q208" s="5"/>
      <c r="R208" s="5"/>
      <c r="S208" s="5"/>
      <c r="T208" s="5"/>
      <c r="U208" s="13"/>
    </row>
    <row r="209" spans="13:21">
      <c r="M209" s="5"/>
      <c r="N209" s="5"/>
      <c r="O209" s="5"/>
      <c r="P209" s="5"/>
      <c r="Q209" s="5"/>
      <c r="R209" s="5"/>
      <c r="S209" s="5"/>
      <c r="T209" s="5"/>
      <c r="U209" s="13"/>
    </row>
    <row r="210" spans="13:21">
      <c r="M210" s="5"/>
      <c r="N210" s="5"/>
      <c r="O210" s="5"/>
      <c r="P210" s="5"/>
      <c r="Q210" s="5"/>
      <c r="R210" s="5"/>
      <c r="S210" s="5"/>
      <c r="T210" s="5"/>
      <c r="U210" s="13"/>
    </row>
    <row r="211" spans="13:21">
      <c r="M211" s="5"/>
      <c r="N211" s="5"/>
      <c r="O211" s="5"/>
      <c r="P211" s="5"/>
      <c r="Q211" s="5"/>
      <c r="R211" s="5"/>
      <c r="S211" s="5"/>
      <c r="T211" s="5"/>
      <c r="U211" s="13"/>
    </row>
    <row r="212" spans="13:21">
      <c r="M212" s="5"/>
      <c r="N212" s="5"/>
      <c r="O212" s="5"/>
      <c r="P212" s="5"/>
      <c r="Q212" s="5"/>
      <c r="R212" s="5"/>
      <c r="S212" s="5"/>
      <c r="T212" s="5"/>
      <c r="U212" s="13"/>
    </row>
    <row r="213" spans="13:21">
      <c r="M213" s="5"/>
      <c r="N213" s="5"/>
      <c r="O213" s="5"/>
      <c r="P213" s="5"/>
      <c r="Q213" s="5"/>
      <c r="R213" s="5"/>
      <c r="S213" s="5"/>
      <c r="T213" s="5"/>
      <c r="U213" s="13"/>
    </row>
    <row r="214" spans="13:21">
      <c r="M214" s="5"/>
      <c r="N214" s="5"/>
      <c r="O214" s="5"/>
      <c r="P214" s="5"/>
      <c r="Q214" s="5"/>
      <c r="R214" s="5"/>
      <c r="S214" s="5"/>
      <c r="T214" s="5"/>
      <c r="U214" s="13"/>
    </row>
    <row r="215" spans="13:21">
      <c r="M215" s="5"/>
      <c r="N215" s="5"/>
      <c r="O215" s="5"/>
      <c r="P215" s="5"/>
      <c r="Q215" s="5"/>
      <c r="R215" s="5"/>
      <c r="S215" s="5"/>
      <c r="T215" s="5"/>
      <c r="U215" s="13"/>
    </row>
    <row r="216" spans="13:21">
      <c r="M216" s="5"/>
      <c r="N216" s="5"/>
      <c r="O216" s="5"/>
      <c r="P216" s="5"/>
      <c r="Q216" s="5"/>
      <c r="R216" s="5"/>
      <c r="S216" s="5"/>
      <c r="T216" s="5"/>
      <c r="U216" s="13"/>
    </row>
    <row r="217" spans="13:21">
      <c r="M217" s="5"/>
      <c r="N217" s="5"/>
      <c r="O217" s="5"/>
      <c r="P217" s="5"/>
      <c r="Q217" s="5"/>
      <c r="R217" s="5"/>
      <c r="S217" s="5"/>
      <c r="T217" s="5"/>
      <c r="U217" s="13"/>
    </row>
    <row r="218" spans="13:21">
      <c r="M218" s="5"/>
      <c r="N218" s="5"/>
      <c r="O218" s="5"/>
      <c r="P218" s="5"/>
      <c r="Q218" s="5"/>
      <c r="R218" s="5"/>
      <c r="S218" s="5"/>
      <c r="T218" s="5"/>
      <c r="U218" s="13"/>
    </row>
    <row r="219" spans="13:21">
      <c r="M219" s="5"/>
      <c r="N219" s="5"/>
      <c r="O219" s="5"/>
      <c r="P219" s="5"/>
      <c r="Q219" s="5"/>
      <c r="R219" s="5"/>
      <c r="S219" s="5"/>
      <c r="T219" s="5"/>
      <c r="U219" s="13"/>
    </row>
    <row r="220" spans="13:21">
      <c r="M220" s="5"/>
      <c r="N220" s="5"/>
      <c r="O220" s="5"/>
      <c r="P220" s="5"/>
      <c r="Q220" s="5"/>
      <c r="R220" s="5"/>
      <c r="S220" s="5"/>
      <c r="T220" s="5"/>
      <c r="U220" s="13"/>
    </row>
    <row r="221" spans="13:21">
      <c r="M221" s="5"/>
      <c r="N221" s="5"/>
      <c r="O221" s="5"/>
      <c r="P221" s="5"/>
      <c r="Q221" s="5"/>
      <c r="R221" s="5"/>
      <c r="S221" s="5"/>
      <c r="T221" s="5"/>
      <c r="U221" s="13"/>
    </row>
    <row r="222" spans="13:21">
      <c r="M222" s="5"/>
      <c r="N222" s="5"/>
      <c r="O222" s="5"/>
      <c r="P222" s="5"/>
      <c r="Q222" s="5"/>
      <c r="R222" s="5"/>
      <c r="S222" s="5"/>
      <c r="T222" s="5"/>
      <c r="U222" s="13"/>
    </row>
    <row r="223" spans="13:21">
      <c r="M223" s="5"/>
      <c r="N223" s="5"/>
      <c r="O223" s="5"/>
      <c r="P223" s="5"/>
      <c r="Q223" s="5"/>
      <c r="R223" s="5"/>
      <c r="S223" s="5"/>
      <c r="T223" s="5"/>
      <c r="U223" s="13"/>
    </row>
    <row r="224" spans="13:21">
      <c r="M224" s="5"/>
      <c r="N224" s="5"/>
      <c r="O224" s="5"/>
      <c r="P224" s="5"/>
      <c r="Q224" s="5"/>
      <c r="R224" s="5"/>
      <c r="S224" s="5"/>
      <c r="T224" s="5"/>
      <c r="U224" s="13"/>
    </row>
    <row r="225" spans="10:21">
      <c r="M225" s="5"/>
      <c r="N225" s="5"/>
      <c r="O225" s="5"/>
      <c r="P225" s="5"/>
      <c r="Q225" s="5"/>
      <c r="R225" s="5"/>
      <c r="S225" s="5"/>
      <c r="T225" s="5"/>
      <c r="U225" s="13"/>
    </row>
    <row r="226" spans="10:21">
      <c r="M226" s="5"/>
      <c r="N226" s="5"/>
      <c r="O226" s="5"/>
      <c r="P226" s="5"/>
      <c r="Q226" s="5"/>
      <c r="R226" s="5"/>
      <c r="S226" s="5"/>
      <c r="T226" s="5"/>
      <c r="U226" s="13"/>
    </row>
    <row r="227" spans="10:21">
      <c r="M227" s="5"/>
      <c r="N227" s="5"/>
      <c r="O227" s="5"/>
      <c r="P227" s="5"/>
      <c r="Q227" s="5"/>
      <c r="R227" s="5"/>
      <c r="S227" s="5"/>
      <c r="T227" s="5"/>
      <c r="U227" s="13"/>
    </row>
    <row r="228" spans="10:21">
      <c r="M228" s="5"/>
      <c r="N228" s="5"/>
      <c r="O228" s="5"/>
      <c r="P228" s="5"/>
      <c r="Q228" s="5"/>
      <c r="R228" s="5"/>
      <c r="S228" s="5"/>
      <c r="T228" s="5"/>
      <c r="U228" s="13"/>
    </row>
    <row r="229" spans="10:21">
      <c r="J229" s="14"/>
      <c r="K229" s="20"/>
      <c r="L229" s="20"/>
      <c r="M229" s="5"/>
      <c r="N229" s="5"/>
      <c r="O229" s="5"/>
      <c r="P229" s="5"/>
      <c r="Q229" s="5"/>
      <c r="R229" s="5"/>
      <c r="S229" s="5"/>
      <c r="T229" s="5"/>
      <c r="U229" s="13"/>
    </row>
    <row r="230" spans="10:21">
      <c r="M230" s="5"/>
      <c r="N230" s="5"/>
      <c r="O230" s="5"/>
      <c r="P230" s="5"/>
      <c r="Q230" s="5"/>
      <c r="R230" s="5"/>
      <c r="S230" s="5"/>
      <c r="T230" s="5"/>
      <c r="U230" s="13"/>
    </row>
    <row r="231" spans="10:21">
      <c r="M231" s="5"/>
      <c r="N231" s="5"/>
      <c r="O231" s="5"/>
      <c r="P231" s="5"/>
      <c r="Q231" s="5"/>
      <c r="R231" s="5"/>
      <c r="S231" s="5"/>
      <c r="T231" s="5"/>
      <c r="U231" s="13"/>
    </row>
    <row r="232" spans="10:21">
      <c r="M232" s="5"/>
      <c r="N232" s="5"/>
      <c r="O232" s="5"/>
      <c r="P232" s="5"/>
      <c r="Q232" s="5"/>
      <c r="R232" s="5"/>
      <c r="S232" s="5"/>
      <c r="T232" s="5"/>
      <c r="U232" s="13"/>
    </row>
    <row r="233" spans="10:21">
      <c r="M233" s="5"/>
      <c r="N233" s="5"/>
      <c r="O233" s="5"/>
      <c r="P233" s="5"/>
      <c r="Q233" s="5"/>
      <c r="R233" s="5"/>
      <c r="S233" s="5"/>
      <c r="T233" s="5"/>
      <c r="U233" s="13"/>
    </row>
    <row r="234" spans="10:21">
      <c r="M234" s="5"/>
      <c r="N234" s="5"/>
      <c r="O234" s="5"/>
      <c r="P234" s="5"/>
      <c r="Q234" s="5"/>
      <c r="R234" s="5"/>
      <c r="S234" s="5"/>
      <c r="T234" s="5"/>
      <c r="U234" s="13"/>
    </row>
    <row r="235" spans="10:21">
      <c r="M235" s="5"/>
      <c r="N235" s="5"/>
      <c r="O235" s="5"/>
      <c r="P235" s="5"/>
      <c r="Q235" s="5"/>
      <c r="R235" s="5"/>
      <c r="S235" s="5"/>
      <c r="T235" s="5"/>
      <c r="U235" s="13"/>
    </row>
    <row r="236" spans="10:21">
      <c r="M236" s="5"/>
      <c r="N236" s="5"/>
      <c r="O236" s="5"/>
      <c r="P236" s="5"/>
      <c r="Q236" s="5"/>
      <c r="R236" s="5"/>
      <c r="S236" s="5"/>
      <c r="T236" s="5"/>
      <c r="U236" s="13"/>
    </row>
    <row r="237" spans="10:21">
      <c r="M237" s="5"/>
      <c r="N237" s="5"/>
      <c r="O237" s="5"/>
      <c r="P237" s="5"/>
      <c r="Q237" s="5"/>
      <c r="R237" s="5"/>
      <c r="S237" s="5"/>
      <c r="T237" s="5"/>
      <c r="U237" s="13"/>
    </row>
    <row r="238" spans="10:21">
      <c r="M238" s="5"/>
      <c r="N238" s="5"/>
      <c r="O238" s="5"/>
      <c r="P238" s="5"/>
      <c r="Q238" s="5"/>
      <c r="R238" s="5"/>
      <c r="S238" s="5"/>
      <c r="T238" s="5"/>
      <c r="U238" s="13"/>
    </row>
    <row r="239" spans="10:21">
      <c r="M239" s="5"/>
      <c r="N239" s="5"/>
      <c r="O239" s="5"/>
      <c r="P239" s="5"/>
      <c r="Q239" s="5"/>
      <c r="R239" s="5"/>
      <c r="S239" s="5"/>
      <c r="T239" s="5"/>
      <c r="U239" s="13"/>
    </row>
    <row r="240" spans="10:21">
      <c r="M240" s="5"/>
      <c r="N240" s="5"/>
      <c r="O240" s="5"/>
      <c r="P240" s="5"/>
      <c r="Q240" s="5"/>
      <c r="R240" s="5"/>
      <c r="S240" s="5"/>
      <c r="T240" s="5"/>
      <c r="U240" s="13"/>
    </row>
    <row r="241" spans="13:21">
      <c r="M241" s="5"/>
      <c r="N241" s="5"/>
      <c r="O241" s="5"/>
      <c r="P241" s="5"/>
      <c r="Q241" s="5"/>
      <c r="R241" s="5"/>
      <c r="S241" s="5"/>
      <c r="T241" s="5"/>
      <c r="U241" s="13"/>
    </row>
    <row r="242" spans="13:21">
      <c r="M242" s="5"/>
      <c r="N242" s="5"/>
      <c r="O242" s="5"/>
      <c r="P242" s="5"/>
      <c r="Q242" s="5"/>
      <c r="R242" s="5"/>
      <c r="S242" s="5"/>
      <c r="T242" s="5"/>
      <c r="U242" s="13"/>
    </row>
    <row r="243" spans="13:21">
      <c r="M243" s="5"/>
      <c r="N243" s="5"/>
      <c r="O243" s="5"/>
      <c r="P243" s="5"/>
      <c r="Q243" s="5"/>
      <c r="R243" s="5"/>
      <c r="S243" s="5"/>
      <c r="T243" s="5"/>
      <c r="U243" s="13"/>
    </row>
    <row r="244" spans="13:21">
      <c r="M244" s="5"/>
      <c r="N244" s="5"/>
      <c r="O244" s="5"/>
      <c r="P244" s="5"/>
      <c r="Q244" s="5"/>
      <c r="R244" s="5"/>
      <c r="S244" s="5"/>
      <c r="T244" s="5"/>
      <c r="U244" s="13"/>
    </row>
    <row r="245" spans="13:21">
      <c r="M245" s="5"/>
      <c r="N245" s="5"/>
      <c r="O245" s="5"/>
      <c r="P245" s="5"/>
      <c r="Q245" s="5"/>
      <c r="R245" s="5"/>
      <c r="S245" s="5"/>
      <c r="T245" s="5"/>
      <c r="U245" s="13"/>
    </row>
    <row r="246" spans="13:21">
      <c r="M246" s="5"/>
      <c r="N246" s="5"/>
      <c r="O246" s="5"/>
      <c r="P246" s="5"/>
      <c r="Q246" s="5"/>
      <c r="R246" s="5"/>
      <c r="S246" s="5"/>
      <c r="T246" s="5"/>
      <c r="U246" s="13"/>
    </row>
    <row r="247" spans="13:21">
      <c r="M247" s="5"/>
      <c r="N247" s="5"/>
      <c r="O247" s="5"/>
      <c r="P247" s="5"/>
      <c r="Q247" s="5"/>
      <c r="R247" s="5"/>
      <c r="S247" s="5"/>
      <c r="T247" s="5"/>
      <c r="U247" s="13"/>
    </row>
    <row r="248" spans="13:21">
      <c r="M248" s="5"/>
      <c r="N248" s="5"/>
      <c r="O248" s="5"/>
      <c r="P248" s="5"/>
      <c r="Q248" s="5"/>
      <c r="R248" s="5"/>
      <c r="S248" s="5"/>
      <c r="T248" s="5"/>
      <c r="U248" s="13"/>
    </row>
    <row r="249" spans="13:21">
      <c r="M249" s="5"/>
      <c r="N249" s="5"/>
      <c r="O249" s="5"/>
      <c r="P249" s="5"/>
      <c r="Q249" s="5"/>
      <c r="R249" s="5"/>
      <c r="S249" s="5"/>
      <c r="T249" s="5"/>
      <c r="U249" s="13"/>
    </row>
    <row r="250" spans="13:21">
      <c r="M250" s="5"/>
      <c r="N250" s="5"/>
      <c r="O250" s="5"/>
      <c r="P250" s="5"/>
      <c r="Q250" s="5"/>
      <c r="R250" s="5"/>
      <c r="S250" s="5"/>
      <c r="T250" s="5"/>
      <c r="U250" s="13"/>
    </row>
    <row r="251" spans="13:21">
      <c r="M251" s="5"/>
      <c r="N251" s="5"/>
      <c r="O251" s="5"/>
      <c r="P251" s="5"/>
      <c r="Q251" s="5"/>
      <c r="R251" s="5"/>
      <c r="S251" s="5"/>
      <c r="T251" s="5"/>
      <c r="U251" s="13"/>
    </row>
    <row r="252" spans="13:21">
      <c r="M252" s="5"/>
      <c r="N252" s="5"/>
      <c r="O252" s="5"/>
      <c r="P252" s="5"/>
      <c r="Q252" s="5"/>
      <c r="R252" s="5"/>
      <c r="S252" s="5"/>
      <c r="T252" s="5"/>
      <c r="U252" s="13"/>
    </row>
    <row r="253" spans="13:21">
      <c r="M253" s="5"/>
      <c r="N253" s="5"/>
      <c r="O253" s="5"/>
      <c r="P253" s="5"/>
      <c r="Q253" s="5"/>
      <c r="R253" s="5"/>
      <c r="S253" s="5"/>
      <c r="T253" s="5"/>
      <c r="U253" s="13"/>
    </row>
  </sheetData>
  <phoneticPr fontId="6" type="noConversion"/>
  <conditionalFormatting sqref="A153:B153">
    <cfRule type="duplicateValues" dxfId="59" priority="10"/>
  </conditionalFormatting>
  <conditionalFormatting sqref="A198:B198">
    <cfRule type="duplicateValues" dxfId="58" priority="9"/>
  </conditionalFormatting>
  <conditionalFormatting sqref="A253 A1:B1 A12:B117 A119:B152 A154:B197">
    <cfRule type="duplicateValues" dxfId="57" priority="12"/>
  </conditionalFormatting>
  <conditionalFormatting sqref="A14:B14">
    <cfRule type="duplicateValues" dxfId="56" priority="4"/>
  </conditionalFormatting>
  <conditionalFormatting sqref="A118:B118">
    <cfRule type="duplicateValues" dxfId="55" priority="2"/>
  </conditionalFormatting>
  <conditionalFormatting sqref="A118:B118">
    <cfRule type="duplicateValues" dxfId="54" priority="1"/>
  </conditionalFormatting>
  <conditionalFormatting sqref="A199:A1048576 A1:B117 A119:B198">
    <cfRule type="duplicateValues" dxfId="53" priority="24"/>
  </conditionalFormatting>
  <conditionalFormatting sqref="A199:A252 A2:B11">
    <cfRule type="duplicateValues" dxfId="52" priority="28"/>
  </conditionalFormatting>
  <pageMargins left="3.937007874015748E-2" right="3.937007874015748E-2" top="0.47244094488188981" bottom="0.35433070866141736" header="0.19685039370078741" footer="0.19685039370078741"/>
  <pageSetup paperSize="9" scale="47" fitToHeight="0" orientation="landscape" r:id="rId1"/>
  <headerFooter>
    <oddHeader>&amp;CLanseringsliste - Spesialbutikk -  2020</oddHeader>
    <oddFooter>&amp;RSide &amp;P av &amp;N</oddFooter>
  </headerFooter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C0AE0A-AE25-4572-A4DE-56D9A6923124}"/>
</file>

<file path=customXml/itemProps2.xml><?xml version="1.0" encoding="utf-8"?>
<ds:datastoreItem xmlns:ds="http://schemas.openxmlformats.org/officeDocument/2006/customXml" ds:itemID="{FBF1A5C5-A404-49F4-9076-5A81B15FD2E4}"/>
</file>

<file path=customXml/itemProps3.xml><?xml version="1.0" encoding="utf-8"?>
<ds:datastoreItem xmlns:ds="http://schemas.openxmlformats.org/officeDocument/2006/customXml" ds:itemID="{6EB940C3-F084-4E9E-8C40-97E5C32630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Hallenberg, Nina Rovelstad</dc:creator>
  <cp:keywords/>
  <dc:description/>
  <cp:lastModifiedBy>Aasheim, Egil Andreas</cp:lastModifiedBy>
  <cp:revision/>
  <dcterms:created xsi:type="dcterms:W3CDTF">2017-01-08T06:39:13Z</dcterms:created>
  <dcterms:modified xsi:type="dcterms:W3CDTF">2025-03-17T07:43:49Z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  <property fmtid="{D5CDD505-2E9C-101B-9397-08002B2CF9AE}" pid="3" name="AuthorIds_UIVersion_512">
    <vt:lpwstr>40</vt:lpwstr>
  </property>
  <property fmtid="{D5CDD505-2E9C-101B-9397-08002B2CF9AE}" pid="4" name="AuthorIds_UIVersion_16384">
    <vt:lpwstr>40</vt:lpwstr>
  </property>
</Properties>
</file>